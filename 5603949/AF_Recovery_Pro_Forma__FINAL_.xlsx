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purposebrands.sharepoint.com/sites/AnytimeFitness/Shared Documents/AF US Operations/AF COACHING/Recovery/"/>
    </mc:Choice>
  </mc:AlternateContent>
  <xr:revisionPtr revIDLastSave="305" documentId="8_{400291A6-A21B-4413-A28F-91F145862081}" xr6:coauthVersionLast="47" xr6:coauthVersionMax="47" xr10:uidLastSave="{B59012EE-0A70-41C1-A831-F83CDD505703}"/>
  <bookViews>
    <workbookView xWindow="-90" yWindow="0" windowWidth="18160" windowHeight="11370" firstSheet="2" activeTab="2" xr2:uid="{C0D05265-1C65-4B40-BFEE-11B6C631B2C0}"/>
  </bookViews>
  <sheets>
    <sheet name="Budget Tiered" sheetId="5" state="hidden" r:id="rId1"/>
    <sheet name="Budget Add On" sheetId="3" state="hidden" r:id="rId2"/>
    <sheet name="1 Recovery - Adjusted Revenue" sheetId="17" r:id="rId3"/>
    <sheet name="2 Recovery - Unadjusted Revenue" sheetId="19" r:id="rId4"/>
    <sheet name="Sheet1" sheetId="1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7" l="1"/>
  <c r="B22" i="17"/>
  <c r="B20" i="19"/>
  <c r="B22" i="19" s="1"/>
  <c r="U30" i="19"/>
  <c r="T30" i="19"/>
  <c r="S30" i="19"/>
  <c r="R30" i="19"/>
  <c r="Q30" i="19"/>
  <c r="P30" i="19"/>
  <c r="O30" i="19"/>
  <c r="N30" i="19"/>
  <c r="M30" i="19"/>
  <c r="L30" i="19"/>
  <c r="K30" i="19"/>
  <c r="J30" i="19"/>
  <c r="I30" i="19"/>
  <c r="H30" i="19"/>
  <c r="G30" i="19"/>
  <c r="F30" i="19"/>
  <c r="E30" i="19"/>
  <c r="D30" i="19"/>
  <c r="C35" i="19"/>
  <c r="C36" i="17"/>
  <c r="D36" i="17" s="1"/>
  <c r="U30" i="17"/>
  <c r="T30" i="17"/>
  <c r="S30" i="17"/>
  <c r="R30" i="17"/>
  <c r="Q30" i="17"/>
  <c r="P30" i="17"/>
  <c r="O30" i="17"/>
  <c r="N30" i="17"/>
  <c r="M30" i="17"/>
  <c r="L30" i="17"/>
  <c r="K30" i="17"/>
  <c r="J30" i="17"/>
  <c r="I30" i="17"/>
  <c r="H30" i="17"/>
  <c r="G30" i="17"/>
  <c r="F30" i="17"/>
  <c r="E30" i="17"/>
  <c r="D30" i="17"/>
  <c r="D32" i="17" s="1"/>
  <c r="Q36" i="17"/>
  <c r="C12" i="3"/>
  <c r="C7" i="3"/>
  <c r="C12" i="5"/>
  <c r="C7" i="5"/>
  <c r="U12" i="5"/>
  <c r="T12" i="5"/>
  <c r="S12" i="5"/>
  <c r="R12" i="5"/>
  <c r="Q12" i="5"/>
  <c r="P12" i="5"/>
  <c r="O12" i="5"/>
  <c r="N12" i="5"/>
  <c r="M12" i="5"/>
  <c r="L12" i="5"/>
  <c r="K12" i="5"/>
  <c r="J12" i="5"/>
  <c r="I12" i="5"/>
  <c r="H12" i="5"/>
  <c r="G12" i="5"/>
  <c r="F12" i="5"/>
  <c r="E12" i="5"/>
  <c r="D12" i="5"/>
  <c r="U7" i="5"/>
  <c r="T7" i="5"/>
  <c r="S7" i="5"/>
  <c r="R7" i="5"/>
  <c r="Q7" i="5"/>
  <c r="P7" i="5"/>
  <c r="O7" i="5"/>
  <c r="N7" i="5"/>
  <c r="M7" i="5"/>
  <c r="L7" i="5"/>
  <c r="K7" i="5"/>
  <c r="J7" i="5"/>
  <c r="I7" i="5"/>
  <c r="H7" i="5"/>
  <c r="G7" i="5"/>
  <c r="F7" i="5"/>
  <c r="E7" i="5"/>
  <c r="D7" i="5"/>
  <c r="D5" i="5"/>
  <c r="Q7" i="3"/>
  <c r="R7" i="3"/>
  <c r="S7" i="3"/>
  <c r="T7" i="3"/>
  <c r="U7" i="3"/>
  <c r="Q12" i="3"/>
  <c r="R12" i="3"/>
  <c r="S12" i="3"/>
  <c r="T12" i="3"/>
  <c r="U12" i="3"/>
  <c r="E12" i="3"/>
  <c r="F12" i="3"/>
  <c r="G12" i="3"/>
  <c r="H12" i="3"/>
  <c r="I12" i="3"/>
  <c r="J12" i="3"/>
  <c r="K12" i="3"/>
  <c r="L12" i="3"/>
  <c r="M12" i="3"/>
  <c r="N12" i="3"/>
  <c r="O12" i="3"/>
  <c r="P12" i="3"/>
  <c r="D12" i="3"/>
  <c r="E7" i="3"/>
  <c r="F7" i="3"/>
  <c r="G7" i="3"/>
  <c r="H7" i="3"/>
  <c r="I7" i="3"/>
  <c r="J7" i="3"/>
  <c r="K7" i="3"/>
  <c r="L7" i="3"/>
  <c r="M7" i="3"/>
  <c r="N7" i="3"/>
  <c r="O7" i="3"/>
  <c r="P7" i="3"/>
  <c r="D7" i="3"/>
  <c r="D5" i="3"/>
  <c r="D31" i="17" l="1"/>
  <c r="D37" i="17" s="1"/>
  <c r="D38" i="17" s="1"/>
  <c r="D32" i="19"/>
  <c r="E32" i="19" s="1"/>
  <c r="F32" i="19" s="1"/>
  <c r="G32" i="19" s="1"/>
  <c r="H32" i="19" s="1"/>
  <c r="I32" i="19" s="1"/>
  <c r="J32" i="19" s="1"/>
  <c r="K32" i="19" s="1"/>
  <c r="L32" i="19" s="1"/>
  <c r="M32" i="19" s="1"/>
  <c r="N32" i="19" s="1"/>
  <c r="O32" i="19" s="1"/>
  <c r="P32" i="19" s="1"/>
  <c r="Q32" i="19" s="1"/>
  <c r="R32" i="19" s="1"/>
  <c r="S32" i="19" s="1"/>
  <c r="T32" i="19" s="1"/>
  <c r="U32" i="19" s="1"/>
  <c r="D31" i="19"/>
  <c r="U35" i="19"/>
  <c r="T35" i="19"/>
  <c r="S35" i="19"/>
  <c r="R35" i="19"/>
  <c r="Q35" i="19"/>
  <c r="P35" i="19"/>
  <c r="O35" i="19"/>
  <c r="N35" i="19"/>
  <c r="M35" i="19"/>
  <c r="L35" i="19"/>
  <c r="K35" i="19"/>
  <c r="J35" i="19"/>
  <c r="I35" i="19"/>
  <c r="H35" i="19"/>
  <c r="G35" i="19"/>
  <c r="F35" i="19"/>
  <c r="E35" i="19"/>
  <c r="D35" i="19"/>
  <c r="E32" i="17"/>
  <c r="U36" i="17"/>
  <c r="T36" i="17"/>
  <c r="S36" i="17"/>
  <c r="R36" i="17"/>
  <c r="P36" i="17"/>
  <c r="O36" i="17"/>
  <c r="N36" i="17"/>
  <c r="M36" i="17"/>
  <c r="L36" i="17"/>
  <c r="K36" i="17"/>
  <c r="J36" i="17"/>
  <c r="I36" i="17"/>
  <c r="H36" i="17"/>
  <c r="G36" i="17"/>
  <c r="F36" i="17"/>
  <c r="E36" i="17"/>
  <c r="D14" i="5"/>
  <c r="D15" i="5" s="1"/>
  <c r="D9" i="5"/>
  <c r="D10" i="5" s="1"/>
  <c r="E5" i="5"/>
  <c r="E5" i="3"/>
  <c r="D14" i="3"/>
  <c r="D15" i="3" s="1"/>
  <c r="D9" i="3"/>
  <c r="D10" i="3" s="1"/>
  <c r="E31" i="17" l="1"/>
  <c r="E37" i="17" s="1"/>
  <c r="E38" i="17" s="1"/>
  <c r="D36" i="19"/>
  <c r="D37" i="19" s="1"/>
  <c r="B38" i="19" s="1"/>
  <c r="E31" i="19"/>
  <c r="F32" i="17"/>
  <c r="G32" i="17" s="1"/>
  <c r="E14" i="5"/>
  <c r="E9" i="5"/>
  <c r="F5" i="5"/>
  <c r="E10" i="5"/>
  <c r="E15" i="5"/>
  <c r="F5" i="3"/>
  <c r="E14" i="3"/>
  <c r="E15" i="3" s="1"/>
  <c r="E9" i="3"/>
  <c r="E10" i="3" s="1"/>
  <c r="F31" i="17" l="1"/>
  <c r="F37" i="17" s="1"/>
  <c r="F38" i="17" s="1"/>
  <c r="E36" i="19"/>
  <c r="F31" i="19"/>
  <c r="E37" i="19"/>
  <c r="F14" i="5"/>
  <c r="F15" i="5" s="1"/>
  <c r="F9" i="5"/>
  <c r="F10" i="5" s="1"/>
  <c r="G5" i="5"/>
  <c r="G5" i="3"/>
  <c r="F14" i="3"/>
  <c r="F15" i="3" s="1"/>
  <c r="F9" i="3"/>
  <c r="F10" i="3" s="1"/>
  <c r="G31" i="17" l="1"/>
  <c r="F36" i="19"/>
  <c r="F37" i="19" s="1"/>
  <c r="G31" i="19"/>
  <c r="G37" i="17"/>
  <c r="H31" i="17"/>
  <c r="G14" i="5"/>
  <c r="G9" i="5"/>
  <c r="H5" i="5"/>
  <c r="G10" i="5"/>
  <c r="G15" i="5"/>
  <c r="H5" i="3"/>
  <c r="G14" i="3"/>
  <c r="G15" i="3" s="1"/>
  <c r="G9" i="3"/>
  <c r="G10" i="3" s="1"/>
  <c r="G36" i="19" l="1"/>
  <c r="H31" i="19"/>
  <c r="G37" i="19"/>
  <c r="H37" i="17"/>
  <c r="I31" i="17"/>
  <c r="H14" i="5"/>
  <c r="H15" i="5" s="1"/>
  <c r="H9" i="5"/>
  <c r="H10" i="5" s="1"/>
  <c r="I5" i="5"/>
  <c r="I5" i="3"/>
  <c r="H14" i="3"/>
  <c r="H15" i="3" s="1"/>
  <c r="H9" i="3"/>
  <c r="H10" i="3" s="1"/>
  <c r="H36" i="19" l="1"/>
  <c r="H37" i="19" s="1"/>
  <c r="I31" i="19"/>
  <c r="I37" i="17"/>
  <c r="J31" i="17"/>
  <c r="I14" i="5"/>
  <c r="I9" i="5"/>
  <c r="J5" i="5"/>
  <c r="I10" i="5"/>
  <c r="I15" i="5"/>
  <c r="J5" i="3"/>
  <c r="I14" i="3"/>
  <c r="I15" i="3" s="1"/>
  <c r="I9" i="3"/>
  <c r="I10" i="3" s="1"/>
  <c r="I36" i="19" l="1"/>
  <c r="J31" i="19"/>
  <c r="I37" i="19"/>
  <c r="J37" i="17"/>
  <c r="K31" i="17"/>
  <c r="J14" i="5"/>
  <c r="J15" i="5" s="1"/>
  <c r="J9" i="5"/>
  <c r="J10" i="5" s="1"/>
  <c r="K5" i="5"/>
  <c r="K5" i="3"/>
  <c r="J14" i="3"/>
  <c r="J15" i="3" s="1"/>
  <c r="J9" i="3"/>
  <c r="J10" i="3" s="1"/>
  <c r="J36" i="19" l="1"/>
  <c r="J37" i="19" s="1"/>
  <c r="K31" i="19"/>
  <c r="K37" i="17"/>
  <c r="L31" i="17"/>
  <c r="K14" i="5"/>
  <c r="K9" i="5"/>
  <c r="L5" i="5"/>
  <c r="K10" i="5"/>
  <c r="K15" i="5"/>
  <c r="L5" i="3"/>
  <c r="K14" i="3"/>
  <c r="K15" i="3" s="1"/>
  <c r="K9" i="3"/>
  <c r="K10" i="3" s="1"/>
  <c r="K36" i="19" l="1"/>
  <c r="L31" i="19"/>
  <c r="K37" i="19"/>
  <c r="L37" i="17"/>
  <c r="M31" i="17"/>
  <c r="L14" i="5"/>
  <c r="L15" i="5" s="1"/>
  <c r="L9" i="5"/>
  <c r="L10" i="5" s="1"/>
  <c r="M5" i="5"/>
  <c r="M5" i="3"/>
  <c r="L14" i="3"/>
  <c r="L15" i="3" s="1"/>
  <c r="L9" i="3"/>
  <c r="L10" i="3" s="1"/>
  <c r="L36" i="19" l="1"/>
  <c r="L37" i="19" s="1"/>
  <c r="M31" i="19"/>
  <c r="M37" i="17"/>
  <c r="N31" i="17"/>
  <c r="M14" i="5"/>
  <c r="M9" i="5"/>
  <c r="N5" i="5"/>
  <c r="M10" i="5"/>
  <c r="M15" i="5"/>
  <c r="N5" i="3"/>
  <c r="M14" i="3"/>
  <c r="M15" i="3" s="1"/>
  <c r="M9" i="3"/>
  <c r="M10" i="3" s="1"/>
  <c r="M36" i="19" l="1"/>
  <c r="N31" i="19"/>
  <c r="M37" i="19"/>
  <c r="N37" i="17"/>
  <c r="O31" i="17"/>
  <c r="O37" i="17" s="1"/>
  <c r="N14" i="5"/>
  <c r="N15" i="5" s="1"/>
  <c r="N9" i="5"/>
  <c r="N10" i="5" s="1"/>
  <c r="O5" i="5"/>
  <c r="O5" i="3"/>
  <c r="N14" i="3"/>
  <c r="N15" i="3" s="1"/>
  <c r="N9" i="3"/>
  <c r="N10" i="3" s="1"/>
  <c r="N36" i="19" l="1"/>
  <c r="N37" i="19" s="1"/>
  <c r="O31" i="19"/>
  <c r="P31" i="17"/>
  <c r="O14" i="5"/>
  <c r="O9" i="5"/>
  <c r="P5" i="5"/>
  <c r="O10" i="5"/>
  <c r="O15" i="5"/>
  <c r="P5" i="3"/>
  <c r="Q5" i="3" s="1"/>
  <c r="O14" i="3"/>
  <c r="O15" i="3" s="1"/>
  <c r="O9" i="3"/>
  <c r="O10" i="3" s="1"/>
  <c r="O36" i="19" l="1"/>
  <c r="P31" i="19"/>
  <c r="O37" i="19"/>
  <c r="P37" i="17"/>
  <c r="Q31" i="17"/>
  <c r="P14" i="5"/>
  <c r="P15" i="5" s="1"/>
  <c r="P9" i="5"/>
  <c r="P10" i="5" s="1"/>
  <c r="Q5" i="5"/>
  <c r="R5" i="3"/>
  <c r="Q9" i="3"/>
  <c r="Q14" i="3"/>
  <c r="P14" i="3"/>
  <c r="P15" i="3" s="1"/>
  <c r="P9" i="3"/>
  <c r="P10" i="3" s="1"/>
  <c r="P36" i="19" l="1"/>
  <c r="P37" i="19" s="1"/>
  <c r="Q31" i="19"/>
  <c r="Q37" i="17"/>
  <c r="R31" i="17"/>
  <c r="Q15" i="3"/>
  <c r="Q10" i="3"/>
  <c r="Q14" i="5"/>
  <c r="Q9" i="5"/>
  <c r="R5" i="5"/>
  <c r="Q10" i="5"/>
  <c r="Q15" i="5"/>
  <c r="S5" i="3"/>
  <c r="R9" i="3"/>
  <c r="R10" i="3" s="1"/>
  <c r="R14" i="3"/>
  <c r="R15" i="3" s="1"/>
  <c r="Q36" i="19" l="1"/>
  <c r="R31" i="19"/>
  <c r="Q37" i="19"/>
  <c r="R37" i="17"/>
  <c r="S31" i="17"/>
  <c r="R14" i="5"/>
  <c r="R15" i="5" s="1"/>
  <c r="R9" i="5"/>
  <c r="R10" i="5" s="1"/>
  <c r="S5" i="5"/>
  <c r="T5" i="3"/>
  <c r="S9" i="3"/>
  <c r="S10" i="3" s="1"/>
  <c r="S14" i="3"/>
  <c r="S15" i="3" s="1"/>
  <c r="R36" i="19" l="1"/>
  <c r="R37" i="19" s="1"/>
  <c r="S31" i="19"/>
  <c r="S37" i="17"/>
  <c r="T31" i="17"/>
  <c r="S14" i="5"/>
  <c r="S9" i="5"/>
  <c r="T5" i="5"/>
  <c r="S10" i="5"/>
  <c r="S15" i="5"/>
  <c r="U5" i="3"/>
  <c r="T9" i="3"/>
  <c r="T10" i="3" s="1"/>
  <c r="T14" i="3"/>
  <c r="T15" i="3" s="1"/>
  <c r="S36" i="19" l="1"/>
  <c r="T31" i="19"/>
  <c r="S37" i="19"/>
  <c r="T37" i="17"/>
  <c r="U31" i="17"/>
  <c r="T14" i="5"/>
  <c r="T15" i="5" s="1"/>
  <c r="T9" i="5"/>
  <c r="T10" i="5" s="1"/>
  <c r="U5" i="5"/>
  <c r="U9" i="3"/>
  <c r="U10" i="3" s="1"/>
  <c r="U14" i="3"/>
  <c r="U15" i="3" s="1"/>
  <c r="T36" i="19" l="1"/>
  <c r="T37" i="19" s="1"/>
  <c r="U31" i="19"/>
  <c r="U37" i="17"/>
  <c r="X10" i="3"/>
  <c r="X9" i="3"/>
  <c r="X7" i="3"/>
  <c r="X6" i="3"/>
  <c r="U14" i="5"/>
  <c r="U9" i="5"/>
  <c r="U10" i="5"/>
  <c r="X7" i="5" s="1"/>
  <c r="X6" i="5"/>
  <c r="U15" i="5"/>
  <c r="X10" i="5"/>
  <c r="X9" i="5"/>
  <c r="G38" i="17"/>
  <c r="H32" i="17"/>
  <c r="U36" i="19" l="1"/>
  <c r="U37" i="19"/>
  <c r="I32" i="17"/>
  <c r="H38" i="17"/>
  <c r="J32" i="17" l="1"/>
  <c r="I38" i="17"/>
  <c r="K32" i="17" l="1"/>
  <c r="J38" i="17"/>
  <c r="L32" i="17" l="1"/>
  <c r="K38" i="17"/>
  <c r="M32" i="17" l="1"/>
  <c r="L38" i="17"/>
  <c r="N32" i="17" l="1"/>
  <c r="M38" i="17"/>
  <c r="O32" i="17" l="1"/>
  <c r="N38" i="17"/>
  <c r="P32" i="17" l="1"/>
  <c r="O38" i="17"/>
  <c r="Q32" i="17" l="1"/>
  <c r="P38" i="17"/>
  <c r="R32" i="17" l="1"/>
  <c r="Q38" i="17"/>
  <c r="S32" i="17" l="1"/>
  <c r="R38" i="17"/>
  <c r="T32" i="17" l="1"/>
  <c r="S38" i="17"/>
  <c r="U32" i="17" l="1"/>
  <c r="T38" i="17"/>
  <c r="U38" i="17" l="1"/>
  <c r="B39"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Caitie Hones Menke</author>
  </authors>
  <commentList>
    <comment ref="A35" authorId="0" shapeId="0" xr:uid="{CEB513FC-A346-49E0-A3B9-9578B62C0C1B}">
      <text>
        <r>
          <rPr>
            <sz val="11"/>
            <color theme="1"/>
            <rFont val="Calibri"/>
            <family val="2"/>
            <scheme val="minor"/>
          </rPr>
          <t xml:space="preserve">Caitie Hones Menke:
revenue that is ONLY attributed to your selected recovery service AKA "what recovery earns on it's own"
</t>
        </r>
      </text>
    </comment>
    <comment ref="A39" authorId="0" shapeId="0" xr:uid="{DA03C7CF-C134-45A3-816B-730EC7A67322}">
      <text>
        <r>
          <rPr>
            <sz val="11"/>
            <color theme="1"/>
            <rFont val="Calibri"/>
            <family val="2"/>
            <scheme val="minor"/>
          </rPr>
          <t xml:space="preserve">Caitie Hones Menke:
This will populate once all yellow cells above are filled out + service is selected in cell B8
</t>
        </r>
      </text>
    </comment>
    <comment ref="A53" authorId="0" shapeId="0" xr:uid="{BD506913-3623-4AA9-8900-151110B716A0}">
      <text>
        <r>
          <rPr>
            <sz val="11"/>
            <color theme="1"/>
            <rFont val="Calibri"/>
            <family val="2"/>
            <scheme val="minor"/>
          </rPr>
          <t xml:space="preserve">Caitie Hones Menke:
Access Control - Recovery Services (reference) article linked
</t>
        </r>
      </text>
    </comment>
    <comment ref="A54" authorId="0" shapeId="0" xr:uid="{420289D0-C0E0-4A4D-8EE3-DD53BE345976}">
      <text>
        <r>
          <rPr>
            <sz val="11"/>
            <color theme="1"/>
            <rFont val="Calibri"/>
            <family val="2"/>
            <scheme val="minor"/>
          </rPr>
          <t>Caitie Hones Menke:
Converting an existing space vs. building out a new space for Recovery will vary club by club
NOTE: Recovery Room Standards are linked for your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tc={154983E3-8165-4B68-B192-E37FCDB7A5D3}</author>
    <author>Caitie Hones Menke</author>
  </authors>
  <commentList>
    <comment ref="A35" authorId="0" shapeId="0" xr:uid="{154983E3-8165-4B68-B192-E37FCDB7A5D3}">
      <text>
        <t>[Threaded comment]
Your version of Excel allows you to read this threaded comment; however, any edits to it will get removed if the file is opened in a newer version of Excel. Learn more: https://go.microsoft.com/fwlink/?linkid=870924
Comment:
    Do our franchisees like/need to see the unadjusted revenue?  I can see how the impact of that number is powerful - I'm just wondering how we might simplify this if it's intended to be a tool that the FZ's will use on their own.  Does it make more sense to have just one or the other?  (adjusted or unadjusted)?  OR - if this is meant to be an FBC coaching tool, perhaps both make sense.  Would love to talk through it.</t>
      </text>
    </comment>
    <comment ref="A38" authorId="1" shapeId="0" xr:uid="{FDFCA516-4DDB-48CD-B143-4672D5A27DF0}">
      <text>
        <r>
          <rPr>
            <sz val="11"/>
            <color theme="1"/>
            <rFont val="Calibri"/>
            <family val="2"/>
            <scheme val="minor"/>
          </rPr>
          <t xml:space="preserve">Caitie Hones Menke:
This will populate once all yellow cells above are filled out + service is selected in cell B8
</t>
        </r>
      </text>
    </comment>
    <comment ref="A52" authorId="1" shapeId="0" xr:uid="{017186F6-8F16-4C5F-91F1-E6FC706CFEC6}">
      <text>
        <r>
          <rPr>
            <sz val="11"/>
            <color theme="1"/>
            <rFont val="Calibri"/>
            <family val="2"/>
            <scheme val="minor"/>
          </rPr>
          <t xml:space="preserve">Caitie Hones Menke:
Access Control - Recovery Services (reference) article linked
</t>
        </r>
      </text>
    </comment>
    <comment ref="A53" authorId="1" shapeId="0" xr:uid="{FAF4AB03-6A73-4E72-BBC3-2913C76E35F5}">
      <text>
        <r>
          <rPr>
            <sz val="11"/>
            <color theme="1"/>
            <rFont val="Calibri"/>
            <family val="2"/>
            <scheme val="minor"/>
          </rPr>
          <t>Caitie Hones Menke:
Converting an existing space vs. building out a new space for Recovery will vary club by club
NOTE: Recovery Room Standards are linked for your review</t>
        </r>
      </text>
    </comment>
  </commentList>
</comments>
</file>

<file path=xl/sharedStrings.xml><?xml version="1.0" encoding="utf-8"?>
<sst xmlns="http://schemas.openxmlformats.org/spreadsheetml/2006/main" count="170" uniqueCount="89">
  <si>
    <t>Red Light Therapy Bed</t>
  </si>
  <si>
    <t xml:space="preserve">Tiered Membership Model </t>
  </si>
  <si>
    <t>Assumptions</t>
  </si>
  <si>
    <t>Club</t>
  </si>
  <si>
    <t>NAME</t>
  </si>
  <si>
    <t>RLT Cost</t>
  </si>
  <si>
    <t>Month</t>
  </si>
  <si>
    <t>Tiered membership (Inc $/mo)</t>
  </si>
  <si>
    <t>Members</t>
  </si>
  <si>
    <t>Tiered Memebrship ($/mo)</t>
  </si>
  <si>
    <t> </t>
  </si>
  <si>
    <t>Cumulative Members</t>
  </si>
  <si>
    <t xml:space="preserve">Adjusted Revenue: </t>
  </si>
  <si>
    <t>Adjusted Revenue:</t>
  </si>
  <si>
    <t>Breakeven Month</t>
  </si>
  <si>
    <t>Revenue Increase</t>
  </si>
  <si>
    <t>ROI Month</t>
  </si>
  <si>
    <t xml:space="preserve">Unadjusted Revenue: </t>
  </si>
  <si>
    <t xml:space="preserve">Total Tiered Revenue </t>
  </si>
  <si>
    <t>Cumulative Revenue</t>
  </si>
  <si>
    <t>Revenue/ Membership</t>
  </si>
  <si>
    <t xml:space="preserve">Membership Add-On Model </t>
  </si>
  <si>
    <t xml:space="preserve">AF Recovery Services Pro Forma </t>
  </si>
  <si>
    <t xml:space="preserve">You are responsible for inputting all assumptions based on your own business strategy and decisions. The data in the charts below is derived from the assumptions you input. This data is for illustrative purposes only; your actual revenue and ROI may vary significantly. We do not make any representations about a franchisee's future financial performance or the past financial performance of these operations. We also do not authorize our employees or representatives to make any such representations either orally or in writing </t>
  </si>
  <si>
    <r>
      <rPr>
        <b/>
        <sz val="12"/>
        <color rgb="FFFFFFFF"/>
        <rFont val="Aptos Narrow"/>
      </rPr>
      <t xml:space="preserve">This Pro Forma should be used as you consider adding Recovery Services into your operations. The assumptions and charts below are to be used for: </t>
    </r>
    <r>
      <rPr>
        <sz val="12"/>
        <color rgb="FFFFFFFF"/>
        <rFont val="Aptos Narrow"/>
      </rPr>
      <t xml:space="preserve">Percussion and Compression tools, Massage Chairs and Beds, Red Light Therapy, or Infrared Sauna with Red Light. </t>
    </r>
    <r>
      <rPr>
        <i/>
        <sz val="12"/>
        <color rgb="FFFFFFFF"/>
        <rFont val="Aptos Narrow"/>
      </rPr>
      <t>Group Recovery Sessions and 1:1 Percussion sessions should be calculated using the AF Training Pro Forma that is linked in the Resource Center.</t>
    </r>
  </si>
  <si>
    <t xml:space="preserve">NOTE: edit ONLY the assumptions in yellow cells - all other cells are set to calculate based on pre-set formulas </t>
  </si>
  <si>
    <t>STEP 1A: Select your Recovery Service in dropdown HERE &gt;</t>
  </si>
  <si>
    <t>SERVICE (SELECTED)</t>
  </si>
  <si>
    <t>This will AUTOPOPULATE the cost estimate for equipment in cell B20. These equipment costs are also listed for your reference under cell A26</t>
  </si>
  <si>
    <r>
      <rPr>
        <b/>
        <sz val="12"/>
        <color rgb="FFFFFFFF"/>
        <rFont val="Calibri"/>
      </rPr>
      <t xml:space="preserve">Step 1B: Estimate and enter additional overhead costs </t>
    </r>
    <r>
      <rPr>
        <sz val="12"/>
        <color rgb="FFFFFFFF"/>
        <rFont val="Calibri"/>
      </rPr>
      <t>into cell B21 (see cell A52 for additional cost considerations)</t>
    </r>
  </si>
  <si>
    <r>
      <rPr>
        <b/>
        <sz val="12"/>
        <color rgb="FFFFFFFF"/>
        <rFont val="Calibri"/>
      </rPr>
      <t xml:space="preserve">STEP 2: Enter how many members you expect to add to the service per-month </t>
    </r>
    <r>
      <rPr>
        <sz val="12"/>
        <color rgb="FFFFFFFF"/>
        <rFont val="Calibri"/>
      </rPr>
      <t>into cell B22</t>
    </r>
    <r>
      <rPr>
        <b/>
        <sz val="12"/>
        <color rgb="FFFFFFFF"/>
        <rFont val="Calibri"/>
      </rPr>
      <t>.</t>
    </r>
    <r>
      <rPr>
        <sz val="12"/>
        <color rgb="FFFFFFFF"/>
        <rFont val="Calibri"/>
      </rPr>
      <t xml:space="preserve"> For the use of this Pro Forma, please use an expected monthly average </t>
    </r>
  </si>
  <si>
    <r>
      <rPr>
        <b/>
        <sz val="12"/>
        <color rgb="FFFFFFFF"/>
        <rFont val="Calibri"/>
      </rPr>
      <t>STEP 3 Calculate the MONTHLY equivalent of your recovery pricing</t>
    </r>
    <r>
      <rPr>
        <sz val="12"/>
        <color rgb="FFFFFFFF"/>
        <rFont val="Calibri"/>
      </rPr>
      <t xml:space="preserve"> and enter into cell B23: You will need to manually calculate cost per member per month and enter that amount into cell B23. NOTE: this may vary based on billing cycle, and the way you choose to package and sell your service </t>
    </r>
  </si>
  <si>
    <r>
      <rPr>
        <b/>
        <sz val="12"/>
        <color rgb="FFFFFFFF"/>
        <rFont val="Calibri"/>
      </rPr>
      <t xml:space="preserve">STEP 4: Enter your average monthly attrition </t>
    </r>
    <r>
      <rPr>
        <sz val="12"/>
        <color rgb="FFFFFFFF"/>
        <rFont val="Calibri"/>
      </rPr>
      <t>into cell B24</t>
    </r>
    <r>
      <rPr>
        <b/>
        <sz val="12"/>
        <color rgb="FFFFFFFF"/>
        <rFont val="Calibri"/>
      </rPr>
      <t xml:space="preserve"> </t>
    </r>
    <r>
      <rPr>
        <sz val="12"/>
        <color rgb="FFFFFFFF"/>
        <rFont val="Calibri"/>
      </rPr>
      <t>(can be found in your Fab 5 Metrics)</t>
    </r>
  </si>
  <si>
    <t>ASSUMPTIONS (Franchisee / FBC / Field Coach edit yellow)</t>
  </si>
  <si>
    <r>
      <rPr>
        <b/>
        <sz val="12"/>
        <color rgb="FF000000"/>
        <rFont val="Calibri"/>
      </rPr>
      <t>Step 1A:</t>
    </r>
    <r>
      <rPr>
        <sz val="12"/>
        <color rgb="FF000000"/>
        <rFont val="Calibri"/>
      </rPr>
      <t xml:space="preserve"> Select Service and Equipment cost (see dropdown cell B8)</t>
    </r>
  </si>
  <si>
    <r>
      <rPr>
        <b/>
        <sz val="12"/>
        <color rgb="FF000000"/>
        <rFont val="Calibri"/>
      </rPr>
      <t>Step 1B:</t>
    </r>
    <r>
      <rPr>
        <sz val="12"/>
        <color rgb="FF000000"/>
        <rFont val="Calibri"/>
      </rPr>
      <t xml:space="preserve"> Estimated additional overhead costs (see cell A52)</t>
    </r>
  </si>
  <si>
    <t>1A + 1B = (TOTAL Estimated Initial Investment)</t>
  </si>
  <si>
    <r>
      <rPr>
        <b/>
        <sz val="12"/>
        <color rgb="FF000000"/>
        <rFont val="Calibri"/>
      </rPr>
      <t>Step 2:</t>
    </r>
    <r>
      <rPr>
        <sz val="12"/>
        <color rgb="FF000000"/>
        <rFont val="Calibri"/>
      </rPr>
      <t xml:space="preserve"> Expected New Members Added (per month)</t>
    </r>
  </si>
  <si>
    <r>
      <rPr>
        <b/>
        <sz val="12"/>
        <color rgb="FF000000"/>
        <rFont val="Calibri"/>
      </rPr>
      <t>Step 3:</t>
    </r>
    <r>
      <rPr>
        <sz val="12"/>
        <color rgb="FF000000"/>
        <rFont val="Calibri"/>
      </rPr>
      <t xml:space="preserve"> Recovery Pricing (price per member per month)</t>
    </r>
  </si>
  <si>
    <r>
      <rPr>
        <b/>
        <sz val="12"/>
        <color rgb="FF000000"/>
        <rFont val="Calibri"/>
      </rPr>
      <t xml:space="preserve">Step 4: </t>
    </r>
    <r>
      <rPr>
        <sz val="12"/>
        <color rgb="FF000000"/>
        <rFont val="Calibri"/>
      </rPr>
      <t>Monthly Attrition</t>
    </r>
  </si>
  <si>
    <t xml:space="preserve">Recovery  - Projected Revenue &amp; ROI </t>
  </si>
  <si>
    <t>New Members Added (per month)</t>
  </si>
  <si>
    <t>Total Active Members (new members + members after attrition)</t>
  </si>
  <si>
    <t>Cummulative New Members (over time)</t>
  </si>
  <si>
    <t>Adjusted Revenue</t>
  </si>
  <si>
    <r>
      <rPr>
        <b/>
        <sz val="12"/>
        <color rgb="FF000000"/>
        <rFont val="Calibri"/>
      </rPr>
      <t xml:space="preserve">What is Adjusted Revenue? </t>
    </r>
    <r>
      <rPr>
        <sz val="12"/>
        <color rgb="FF000000"/>
        <rFont val="Calibri"/>
      </rPr>
      <t>revenue that is ONLY attributed to your selected recovery service AKA "what recovery earns on it's own"</t>
    </r>
  </si>
  <si>
    <t>Recovery Pricing (monthly equivalent)</t>
  </si>
  <si>
    <t xml:space="preserve">Total Revenue </t>
  </si>
  <si>
    <t>Estimated Breakeven Month</t>
  </si>
  <si>
    <t>RESOURCES</t>
  </si>
  <si>
    <t>Estimated Overhead</t>
  </si>
  <si>
    <t>Notes</t>
  </si>
  <si>
    <t>Percussion &amp; Compression Tools</t>
  </si>
  <si>
    <t xml:space="preserve">Based on Hyperice Cart + Normatec Boots </t>
  </si>
  <si>
    <t>Massage Chair</t>
  </si>
  <si>
    <t>Based on unit price of massage chair</t>
  </si>
  <si>
    <t>Hydromassage Bed</t>
  </si>
  <si>
    <t>Based on unit price of Hydromassage Bed (WellnessSpace)</t>
  </si>
  <si>
    <t>Red Light Therapy ProPanel</t>
  </si>
  <si>
    <t>Based on unit price of ProPanel (LightStim)</t>
  </si>
  <si>
    <t xml:space="preserve">Red Light Therapy Bed </t>
  </si>
  <si>
    <t>Based on unit price of LED Bed Pro (LightStim)</t>
  </si>
  <si>
    <t>IR Sauna (Sunlighten)</t>
  </si>
  <si>
    <t>Based on unit price of IR Sauna with RLT</t>
  </si>
  <si>
    <t>IR Sauna (WellnessUSA)</t>
  </si>
  <si>
    <t>IR Sauna w/ Salt Therapy (Halotherapy)</t>
  </si>
  <si>
    <t>Based on unit price of IR Sauna with Salt Therapy &amp; RLT</t>
  </si>
  <si>
    <t>OTHER COSTS TO CONSIDER</t>
  </si>
  <si>
    <t>NOTE: you will need to manually calculate and add this to your total for cell B16</t>
  </si>
  <si>
    <t>Recovery Room Door Access &amp; Settings</t>
  </si>
  <si>
    <t>Avg Based on Electric lock, in-use deadbolt, and ProV visit &amp; install -- this is applicable for those who already have a room but need to set-up access control, also applicable for those going through a club remodel</t>
  </si>
  <si>
    <t>AF Recovery Room Standareds (Recovery Room Buildout)</t>
  </si>
  <si>
    <t>varies</t>
  </si>
  <si>
    <t>Avg will vary based on club situation + market -- this is applicable for those needing to build out a room that doesn't exist, also applicable to those going through a club remodel</t>
  </si>
  <si>
    <r>
      <t xml:space="preserve">This Pro Forma should be used as you consider adding Recovery Services into your operations. The assumptions and charts below are to be used for: </t>
    </r>
    <r>
      <rPr>
        <sz val="12"/>
        <color rgb="FFFFFFFF"/>
        <rFont val="Calibri"/>
        <scheme val="minor"/>
      </rPr>
      <t xml:space="preserve">Percussion and Compression tools, Massage Chairs and Beds, Red Light Therapy, or Infrared Sauna with Red Light. </t>
    </r>
    <r>
      <rPr>
        <i/>
        <sz val="12"/>
        <color rgb="FFFFFFFF"/>
        <rFont val="Calibri"/>
        <scheme val="minor"/>
      </rPr>
      <t>Group Recovery Sessions and 1:1 Percussion sessions should be calculated using the AF Training Pro Forma that is linked in the Resource Center.</t>
    </r>
  </si>
  <si>
    <t>This will AUTOPOPULATE the cost estimate for equipment in cell B20. These equipment costs are also listed for your reference under cell A26.</t>
  </si>
  <si>
    <r>
      <t xml:space="preserve">STEP 2: Enter how many members you expect to add to the service per-month </t>
    </r>
    <r>
      <rPr>
        <sz val="12"/>
        <color rgb="FFFFFFFF"/>
        <rFont val="Calibri"/>
        <scheme val="minor"/>
      </rPr>
      <t>into cell B22</t>
    </r>
    <r>
      <rPr>
        <b/>
        <sz val="12"/>
        <color rgb="FFFFFFFF"/>
        <rFont val="Calibri"/>
        <scheme val="minor"/>
      </rPr>
      <t>.</t>
    </r>
    <r>
      <rPr>
        <sz val="12"/>
        <color rgb="FFFFFFFF"/>
        <rFont val="Calibri"/>
        <scheme val="minor"/>
      </rPr>
      <t xml:space="preserve"> For the use of this Pro Forma, please use an expected monthly average </t>
    </r>
  </si>
  <si>
    <r>
      <t>STEP 3: Calculate the MONTHLY equivalent of the cost of membership with recovery services included AKA a coaching (tiered) membership</t>
    </r>
    <r>
      <rPr>
        <sz val="12"/>
        <color rgb="FFFFFFFF"/>
        <rFont val="Calibri"/>
        <scheme val="minor"/>
      </rPr>
      <t xml:space="preserve"> and enter into cell B23.  You will need to manually calculate cost per memer per month and enter that amount into cell B23. NOTE: this may vary based on billing cycle, and the way you choose to package and sell your service. NOTE:  If you are not planning to sell a coaching (tiered) membership, you may leave this blank.									</t>
    </r>
  </si>
  <si>
    <r>
      <t xml:space="preserve">STEP 4: Enter your average monthly attrition </t>
    </r>
    <r>
      <rPr>
        <sz val="12"/>
        <color rgb="FFFFFFFF"/>
        <rFont val="Calibri"/>
        <scheme val="minor"/>
      </rPr>
      <t>into cell B24 (can be found in your Fab 5 Metrics)</t>
    </r>
  </si>
  <si>
    <r>
      <rPr>
        <b/>
        <sz val="12"/>
        <color rgb="FF000000"/>
        <rFont val="Calibri"/>
        <scheme val="minor"/>
      </rPr>
      <t>Step 1A:</t>
    </r>
    <r>
      <rPr>
        <sz val="12"/>
        <color rgb="FF000000"/>
        <rFont val="Calibri"/>
        <scheme val="minor"/>
      </rPr>
      <t xml:space="preserve"> Select Service and Equipment cost (see dropdown cell B8)</t>
    </r>
  </si>
  <si>
    <r>
      <rPr>
        <b/>
        <sz val="12"/>
        <color rgb="FF000000"/>
        <rFont val="Calibri"/>
        <scheme val="minor"/>
      </rPr>
      <t>Step 2:</t>
    </r>
    <r>
      <rPr>
        <sz val="12"/>
        <color rgb="FF000000"/>
        <rFont val="Calibri"/>
        <scheme val="minor"/>
      </rPr>
      <t xml:space="preserve"> Expected New Members Added (per month)</t>
    </r>
  </si>
  <si>
    <r>
      <rPr>
        <b/>
        <sz val="12"/>
        <color rgb="FF000000"/>
        <rFont val="Calibri"/>
        <scheme val="minor"/>
      </rPr>
      <t>Step 3:</t>
    </r>
    <r>
      <rPr>
        <sz val="12"/>
        <color rgb="FF000000"/>
        <rFont val="Calibri"/>
        <scheme val="minor"/>
      </rPr>
      <t xml:space="preserve"> Coaching Membership (membership + recovery per month)</t>
    </r>
  </si>
  <si>
    <r>
      <rPr>
        <b/>
        <sz val="12"/>
        <color rgb="FF000000"/>
        <rFont val="Calibri"/>
        <scheme val="minor"/>
      </rPr>
      <t xml:space="preserve">Step 4: </t>
    </r>
    <r>
      <rPr>
        <sz val="12"/>
        <color rgb="FF000000"/>
        <rFont val="Calibri"/>
        <scheme val="minor"/>
      </rPr>
      <t>Monthly Attrition</t>
    </r>
  </si>
  <si>
    <r>
      <t xml:space="preserve">What is Unadjusted Revenue? </t>
    </r>
    <r>
      <rPr>
        <sz val="12"/>
        <color rgb="FF000000"/>
        <rFont val="Calibri"/>
        <scheme val="minor"/>
      </rPr>
      <t xml:space="preserve">ALL revenue associated with members who participate with recovery as a service, without isolating recovery's specific contribution AKA "what recovery helps earn </t>
    </r>
    <r>
      <rPr>
        <i/>
        <sz val="12"/>
        <color rgb="FF000000"/>
        <rFont val="Calibri"/>
        <scheme val="minor"/>
      </rPr>
      <t>overall</t>
    </r>
    <r>
      <rPr>
        <sz val="12"/>
        <color rgb="FF000000"/>
        <rFont val="Calibri"/>
        <scheme val="minor"/>
      </rPr>
      <t>"</t>
    </r>
  </si>
  <si>
    <t>Coaching Membership (with Recovery)</t>
  </si>
  <si>
    <t xml:space="preserve">Recovery Room Access &amp; Security </t>
  </si>
  <si>
    <t>Avg Based on Electric lock, in-use deadbolt, and ProV visit &amp; install</t>
  </si>
  <si>
    <t>Recovery Room Buildout</t>
  </si>
  <si>
    <t>Avg will vary based on club situation +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</si>
</sst>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00"/>
    <numFmt numFmtId="165" formatCode="_([$$-409]* #,##0.00_);_([$$-409]* \(#,##0.00\);_([$$-409]* &quot;-&quot;??_);_(@_)"/>
  </numFmts>
  <fonts count="50">
    <font>
      <sz val="11"/>
      <color theme="1"/>
      <name val="Calibri"/>
      <family val="2"/>
      <scheme val="minor"/>
    </font>
    <font>
      <sz val="11"/>
      <color theme="1"/>
      <name val="Calibri"/>
      <scheme val="minor"/>
    </font>
    <font>
      <sz val="11"/>
      <color theme="1"/>
      <name val="Calibri"/>
      <scheme val="minor"/>
    </font>
    <font>
      <b/>
      <sz val="11"/>
      <color rgb="FF000000"/>
      <name val="Calibri"/>
      <family val="2"/>
    </font>
    <font>
      <sz val="11"/>
      <color rgb="FF000000"/>
      <name val="Calibri"/>
      <family val="2"/>
    </font>
    <font>
      <b/>
      <sz val="18"/>
      <color theme="0"/>
      <name val="Calibri"/>
      <family val="2"/>
      <scheme val="minor"/>
    </font>
    <font>
      <sz val="11"/>
      <color theme="0"/>
      <name val="Calibri"/>
      <family val="2"/>
      <scheme val="minor"/>
    </font>
    <font>
      <b/>
      <sz val="11"/>
      <color rgb="FF6E38D5"/>
      <name val="Calibri"/>
      <family val="2"/>
      <scheme val="minor"/>
    </font>
    <font>
      <u/>
      <sz val="11"/>
      <color theme="10"/>
      <name val="Calibri"/>
      <family val="2"/>
      <scheme val="minor"/>
    </font>
    <font>
      <b/>
      <sz val="12"/>
      <color theme="0"/>
      <name val="Calibri"/>
      <family val="2"/>
    </font>
    <font>
      <b/>
      <sz val="18"/>
      <color theme="0"/>
      <name val="Calibri"/>
      <family val="2"/>
    </font>
    <font>
      <b/>
      <sz val="12"/>
      <color rgb="FF000000"/>
      <name val="Calibri"/>
    </font>
    <font>
      <sz val="12"/>
      <color rgb="FF000000"/>
      <name val="Calibri"/>
      <family val="2"/>
    </font>
    <font>
      <sz val="12"/>
      <color rgb="FF000000"/>
      <name val="Calibri"/>
    </font>
    <font>
      <i/>
      <sz val="12"/>
      <color rgb="FF000000"/>
      <name val="Calibri"/>
      <family val="2"/>
    </font>
    <font>
      <sz val="12"/>
      <color theme="1"/>
      <name val="Calibri"/>
      <family val="2"/>
      <scheme val="minor"/>
    </font>
    <font>
      <b/>
      <sz val="12"/>
      <color rgb="FF000000"/>
      <name val="Calibri"/>
      <family val="2"/>
    </font>
    <font>
      <b/>
      <sz val="12"/>
      <color theme="0"/>
      <name val="Calibri"/>
      <family val="2"/>
      <scheme val="minor"/>
    </font>
    <font>
      <b/>
      <sz val="12"/>
      <color rgb="FFFFFFFF"/>
      <name val="Aptos Narrow"/>
    </font>
    <font>
      <sz val="12"/>
      <color theme="0"/>
      <name val="Aptos Narrow"/>
      <charset val="1"/>
    </font>
    <font>
      <b/>
      <sz val="12"/>
      <color rgb="FF000000"/>
      <name val="Calibri"/>
      <family val="2"/>
      <scheme val="minor"/>
    </font>
    <font>
      <sz val="12"/>
      <color theme="0"/>
      <name val="Calibri"/>
      <family val="2"/>
      <scheme val="minor"/>
    </font>
    <font>
      <b/>
      <sz val="12"/>
      <color theme="1"/>
      <name val="Calibri"/>
      <family val="2"/>
      <scheme val="minor"/>
    </font>
    <font>
      <b/>
      <sz val="12"/>
      <color rgb="FF000000"/>
      <name val="Calibri"/>
      <scheme val="minor"/>
    </font>
    <font>
      <sz val="12"/>
      <color rgb="FF000000"/>
      <name val="Calibri"/>
      <family val="2"/>
      <scheme val="minor"/>
    </font>
    <font>
      <sz val="12"/>
      <color rgb="FFFFFFFF"/>
      <name val="Calibri"/>
      <scheme val="minor"/>
    </font>
    <font>
      <b/>
      <sz val="12"/>
      <color rgb="FF000000"/>
      <name val="Aptos Narrow"/>
    </font>
    <font>
      <b/>
      <sz val="12"/>
      <color theme="0"/>
      <name val="Calibri"/>
    </font>
    <font>
      <b/>
      <sz val="12"/>
      <color rgb="FFFFFFFF"/>
      <name val="Calibri"/>
    </font>
    <font>
      <sz val="12"/>
      <color rgb="FFFFFFFF"/>
      <name val="Calibri"/>
    </font>
    <font>
      <b/>
      <sz val="12"/>
      <color rgb="FFFFFFFF"/>
      <name val="Calibri"/>
      <scheme val="minor"/>
    </font>
    <font>
      <sz val="12"/>
      <color rgb="FFFFFFFF"/>
      <name val="Aptos Narrow"/>
    </font>
    <font>
      <i/>
      <sz val="12"/>
      <color rgb="FFFFFFFF"/>
      <name val="Aptos Narrow"/>
    </font>
    <font>
      <b/>
      <sz val="12"/>
      <color rgb="FF6E38D5"/>
      <name val="Calibri"/>
      <family val="2"/>
      <scheme val="minor"/>
    </font>
    <font>
      <sz val="11"/>
      <color theme="0"/>
      <name val="Calibri"/>
      <scheme val="minor"/>
    </font>
    <font>
      <b/>
      <sz val="18"/>
      <color theme="0"/>
      <name val="Calibri"/>
      <scheme val="minor"/>
    </font>
    <font>
      <b/>
      <sz val="12"/>
      <color theme="0"/>
      <name val="Calibri"/>
      <scheme val="minor"/>
    </font>
    <font>
      <sz val="12"/>
      <color theme="1"/>
      <name val="Calibri"/>
      <scheme val="minor"/>
    </font>
    <font>
      <i/>
      <sz val="12"/>
      <color rgb="FFFFFFFF"/>
      <name val="Calibri"/>
      <scheme val="minor"/>
    </font>
    <font>
      <sz val="12"/>
      <color theme="0"/>
      <name val="Calibri"/>
      <scheme val="minor"/>
    </font>
    <font>
      <u/>
      <sz val="11"/>
      <color theme="10"/>
      <name val="Calibri"/>
      <scheme val="minor"/>
    </font>
    <font>
      <sz val="12"/>
      <color rgb="FF000000"/>
      <name val="Calibri"/>
      <scheme val="minor"/>
    </font>
    <font>
      <i/>
      <sz val="12"/>
      <color rgb="FF000000"/>
      <name val="Calibri"/>
      <scheme val="minor"/>
    </font>
    <font>
      <b/>
      <sz val="12"/>
      <color theme="1"/>
      <name val="Calibri"/>
      <scheme val="minor"/>
    </font>
    <font>
      <u/>
      <sz val="12"/>
      <color theme="10"/>
      <name val="Calibri"/>
      <scheme val="minor"/>
    </font>
    <font>
      <sz val="11"/>
      <color rgb="FF000000"/>
      <name val="Calibri"/>
      <scheme val="minor"/>
    </font>
    <font>
      <b/>
      <sz val="11"/>
      <color rgb="FF6E38D5"/>
      <name val="Calibri"/>
      <scheme val="minor"/>
    </font>
    <font>
      <b/>
      <sz val="12"/>
      <color rgb="FF6E38D5"/>
      <name val="Calibri"/>
      <scheme val="minor"/>
    </font>
    <font>
      <b/>
      <i/>
      <sz val="12"/>
      <color rgb="FF000000"/>
      <name val="Calibri"/>
    </font>
    <font>
      <b/>
      <i/>
      <sz val="12"/>
      <color rgb="FF000000"/>
      <name val="Calibri"/>
      <family val="2"/>
    </font>
  </fonts>
  <fills count="6">
    <fill>
      <patternFill patternType="none"/>
    </fill>
    <fill>
      <patternFill patternType="gray125"/>
    </fill>
    <fill>
      <patternFill patternType="solid">
        <fgColor theme="9" tint="0.39997558519241921"/>
        <bgColor indexed="64"/>
      </patternFill>
    </fill>
    <fill>
      <patternFill patternType="solid">
        <fgColor rgb="FF6E38D5"/>
        <bgColor indexed="64"/>
      </patternFill>
    </fill>
    <fill>
      <patternFill patternType="solid">
        <fgColor theme="7" tint="0.39997558519241921"/>
        <bgColor indexed="64"/>
      </patternFill>
    </fill>
    <fill>
      <patternFill patternType="solid">
        <fgColor rgb="FFEED2FA"/>
        <bgColor indexed="64"/>
      </patternFill>
    </fill>
  </fills>
  <borders count="11">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173">
    <xf numFmtId="0" fontId="0" fillId="0" borderId="0" xfId="0"/>
    <xf numFmtId="0" fontId="3" fillId="0" borderId="0" xfId="0" applyFont="1"/>
    <xf numFmtId="0" fontId="4" fillId="0" borderId="0" xfId="0" applyFont="1"/>
    <xf numFmtId="6" fontId="4" fillId="0" borderId="0" xfId="0" applyNumberFormat="1" applyFont="1"/>
    <xf numFmtId="0" fontId="4" fillId="0" borderId="1" xfId="0" applyFont="1" applyBorder="1"/>
    <xf numFmtId="6" fontId="4" fillId="0" borderId="1" xfId="0" applyNumberFormat="1" applyFont="1" applyBorder="1"/>
    <xf numFmtId="0" fontId="4" fillId="0" borderId="0" xfId="0" applyFont="1" applyAlignment="1">
      <alignment horizontal="right"/>
    </xf>
    <xf numFmtId="0" fontId="7" fillId="0" borderId="0" xfId="0" applyFont="1" applyAlignment="1">
      <alignment horizontal="left"/>
    </xf>
    <xf numFmtId="0" fontId="6" fillId="0" borderId="0" xfId="0" applyFont="1"/>
    <xf numFmtId="0" fontId="5" fillId="3" borderId="0" xfId="0" applyFont="1" applyFill="1" applyAlignment="1">
      <alignment wrapText="1"/>
    </xf>
    <xf numFmtId="0" fontId="12" fillId="0" borderId="0" xfId="0" applyFont="1"/>
    <xf numFmtId="0" fontId="12" fillId="0" borderId="2" xfId="0" applyFont="1" applyBorder="1"/>
    <xf numFmtId="0" fontId="15" fillId="0" borderId="0" xfId="0" applyFont="1"/>
    <xf numFmtId="0" fontId="16" fillId="0" borderId="2" xfId="0" applyFont="1" applyBorder="1"/>
    <xf numFmtId="0" fontId="16" fillId="2" borderId="2" xfId="0" applyFont="1" applyFill="1" applyBorder="1" applyAlignment="1">
      <alignment horizontal="right"/>
    </xf>
    <xf numFmtId="0" fontId="17" fillId="3" borderId="0" xfId="0" applyFont="1" applyFill="1" applyAlignment="1">
      <alignment vertical="center" wrapText="1"/>
    </xf>
    <xf numFmtId="0" fontId="17" fillId="3" borderId="0" xfId="0" applyFont="1" applyFill="1" applyAlignment="1">
      <alignment vertical="center"/>
    </xf>
    <xf numFmtId="0" fontId="21" fillId="3" borderId="0" xfId="0" applyFont="1" applyFill="1" applyAlignment="1">
      <alignment vertical="center"/>
    </xf>
    <xf numFmtId="0" fontId="15" fillId="0" borderId="0" xfId="0" applyFont="1" applyAlignment="1">
      <alignment vertical="center"/>
    </xf>
    <xf numFmtId="0" fontId="15" fillId="0" borderId="0" xfId="0" applyFont="1" applyAlignment="1">
      <alignment vertical="center" wrapText="1"/>
    </xf>
    <xf numFmtId="164" fontId="15" fillId="0" borderId="0" xfId="0" applyNumberFormat="1" applyFont="1" applyAlignment="1">
      <alignment vertical="center"/>
    </xf>
    <xf numFmtId="0" fontId="5" fillId="0" borderId="0" xfId="0" applyFont="1" applyAlignment="1">
      <alignment wrapText="1"/>
    </xf>
    <xf numFmtId="0" fontId="17" fillId="0" borderId="0" xfId="0" applyFont="1" applyAlignment="1">
      <alignment wrapText="1"/>
    </xf>
    <xf numFmtId="0" fontId="19" fillId="0" borderId="0" xfId="0" applyFont="1" applyAlignment="1">
      <alignment wrapText="1"/>
    </xf>
    <xf numFmtId="0" fontId="21" fillId="0" borderId="0" xfId="0" applyFont="1" applyAlignment="1">
      <alignment vertical="center"/>
    </xf>
    <xf numFmtId="0" fontId="20" fillId="0" borderId="0" xfId="0" applyFont="1" applyAlignment="1">
      <alignment vertical="center"/>
    </xf>
    <xf numFmtId="0" fontId="17" fillId="3" borderId="0" xfId="0" applyFont="1" applyFill="1"/>
    <xf numFmtId="0" fontId="17" fillId="0" borderId="0" xfId="0" applyFont="1"/>
    <xf numFmtId="164" fontId="15" fillId="0" borderId="0" xfId="0" applyNumberFormat="1" applyFont="1"/>
    <xf numFmtId="0" fontId="24" fillId="0" borderId="0" xfId="0" applyFont="1" applyAlignment="1">
      <alignment vertical="center"/>
    </xf>
    <xf numFmtId="0" fontId="24" fillId="0" borderId="0" xfId="0" applyFont="1"/>
    <xf numFmtId="0" fontId="21" fillId="0" borderId="0" xfId="0" applyFont="1"/>
    <xf numFmtId="6" fontId="15" fillId="0" borderId="0" xfId="0" applyNumberFormat="1" applyFont="1"/>
    <xf numFmtId="0" fontId="8" fillId="0" borderId="0" xfId="1" applyFill="1" applyBorder="1"/>
    <xf numFmtId="0" fontId="15" fillId="0" borderId="0" xfId="0" applyFont="1" applyAlignment="1">
      <alignment horizontal="right"/>
    </xf>
    <xf numFmtId="0" fontId="22" fillId="0" borderId="0" xfId="0" applyFont="1" applyAlignment="1">
      <alignment horizontal="center" vertical="center" wrapText="1"/>
    </xf>
    <xf numFmtId="0" fontId="20" fillId="0" borderId="0" xfId="0" applyFont="1" applyAlignment="1">
      <alignment horizontal="center" vertical="center" wrapText="1"/>
    </xf>
    <xf numFmtId="0" fontId="0" fillId="0" borderId="0" xfId="0" applyAlignment="1">
      <alignment horizontal="right"/>
    </xf>
    <xf numFmtId="0" fontId="23" fillId="0" borderId="0" xfId="0" applyFont="1" applyAlignment="1">
      <alignment horizontal="center" vertical="center"/>
    </xf>
    <xf numFmtId="0" fontId="22" fillId="0" borderId="0" xfId="0" applyFont="1" applyAlignment="1">
      <alignment horizontal="left" vertical="center"/>
    </xf>
    <xf numFmtId="1" fontId="12" fillId="4" borderId="0" xfId="0" applyNumberFormat="1" applyFont="1" applyFill="1"/>
    <xf numFmtId="0" fontId="13" fillId="0" borderId="0" xfId="0" applyFont="1"/>
    <xf numFmtId="165" fontId="14" fillId="4" borderId="0" xfId="0" applyNumberFormat="1" applyFont="1" applyFill="1" applyAlignment="1">
      <alignment horizontal="right"/>
    </xf>
    <xf numFmtId="9" fontId="12" fillId="4" borderId="0" xfId="0" applyNumberFormat="1" applyFont="1" applyFill="1"/>
    <xf numFmtId="0" fontId="22" fillId="0" borderId="0" xfId="0" applyFont="1" applyAlignment="1">
      <alignment horizontal="left" vertical="center" wrapText="1"/>
    </xf>
    <xf numFmtId="0" fontId="20" fillId="0" borderId="0" xfId="0" applyFont="1" applyAlignment="1">
      <alignment horizontal="left" vertical="center" wrapText="1"/>
    </xf>
    <xf numFmtId="0" fontId="18" fillId="3" borderId="0" xfId="0" applyFont="1" applyFill="1" applyAlignment="1">
      <alignment vertical="center"/>
    </xf>
    <xf numFmtId="0" fontId="19" fillId="0" borderId="0" xfId="0" applyFont="1" applyAlignment="1">
      <alignment vertical="center"/>
    </xf>
    <xf numFmtId="0" fontId="25" fillId="3" borderId="0" xfId="0" applyFont="1" applyFill="1" applyAlignment="1">
      <alignment vertical="center" wrapText="1"/>
    </xf>
    <xf numFmtId="0" fontId="18" fillId="3" borderId="0" xfId="0" applyFont="1" applyFill="1" applyAlignment="1">
      <alignment wrapText="1"/>
    </xf>
    <xf numFmtId="0" fontId="27" fillId="3" borderId="0" xfId="0" applyFont="1" applyFill="1" applyAlignment="1">
      <alignment vertical="center"/>
    </xf>
    <xf numFmtId="0" fontId="21" fillId="3" borderId="0" xfId="0" applyFont="1" applyFill="1"/>
    <xf numFmtId="0" fontId="16" fillId="0" borderId="0" xfId="0" applyFont="1"/>
    <xf numFmtId="0" fontId="33" fillId="0" borderId="0" xfId="0" applyFont="1" applyAlignment="1">
      <alignment horizontal="left"/>
    </xf>
    <xf numFmtId="1" fontId="12" fillId="0" borderId="2" xfId="0" applyNumberFormat="1" applyFont="1" applyBorder="1"/>
    <xf numFmtId="9" fontId="12" fillId="0" borderId="2" xfId="0" applyNumberFormat="1" applyFont="1" applyBorder="1"/>
    <xf numFmtId="0" fontId="15" fillId="0" borderId="0" xfId="0" applyFont="1" applyAlignment="1">
      <alignment horizontal="left"/>
    </xf>
    <xf numFmtId="0" fontId="12" fillId="0" borderId="0" xfId="0" applyFont="1" applyAlignment="1">
      <alignment horizontal="center"/>
    </xf>
    <xf numFmtId="6" fontId="12" fillId="0" borderId="0" xfId="0" applyNumberFormat="1" applyFont="1"/>
    <xf numFmtId="6" fontId="12" fillId="0" borderId="2" xfId="0" applyNumberFormat="1" applyFont="1" applyBorder="1"/>
    <xf numFmtId="0" fontId="9" fillId="3" borderId="2" xfId="0" applyFont="1" applyFill="1" applyBorder="1" applyAlignment="1">
      <alignment horizontal="center"/>
    </xf>
    <xf numFmtId="0" fontId="8" fillId="0" borderId="0" xfId="1" applyBorder="1" applyAlignment="1">
      <alignment vertical="center"/>
    </xf>
    <xf numFmtId="0" fontId="28" fillId="3" borderId="0" xfId="0" applyFont="1" applyFill="1" applyAlignment="1">
      <alignment vertical="center"/>
    </xf>
    <xf numFmtId="0" fontId="30" fillId="3" borderId="0" xfId="0" applyFont="1" applyFill="1" applyAlignment="1">
      <alignment vertical="center"/>
    </xf>
    <xf numFmtId="44" fontId="12" fillId="4" borderId="0" xfId="0" applyNumberFormat="1" applyFont="1" applyFill="1"/>
    <xf numFmtId="0" fontId="35" fillId="3" borderId="0" xfId="0" applyFont="1" applyFill="1" applyAlignment="1">
      <alignment wrapText="1"/>
    </xf>
    <xf numFmtId="0" fontId="35" fillId="0" borderId="0" xfId="0" applyFont="1" applyAlignment="1">
      <alignment wrapText="1"/>
    </xf>
    <xf numFmtId="0" fontId="2" fillId="0" borderId="0" xfId="0" applyFont="1"/>
    <xf numFmtId="0" fontId="36" fillId="3" borderId="0" xfId="0" applyFont="1" applyFill="1" applyAlignment="1">
      <alignment vertical="center" wrapText="1"/>
    </xf>
    <xf numFmtId="0" fontId="36" fillId="0" borderId="0" xfId="0" applyFont="1" applyAlignment="1">
      <alignment wrapText="1"/>
    </xf>
    <xf numFmtId="0" fontId="37" fillId="0" borderId="0" xfId="0" applyFont="1"/>
    <xf numFmtId="0" fontId="30" fillId="3" borderId="0" xfId="0" applyFont="1" applyFill="1" applyAlignment="1">
      <alignment wrapText="1"/>
    </xf>
    <xf numFmtId="0" fontId="39" fillId="0" borderId="0" xfId="0" applyFont="1" applyAlignment="1">
      <alignment wrapText="1"/>
    </xf>
    <xf numFmtId="0" fontId="39" fillId="0" borderId="0" xfId="0" applyFont="1" applyAlignment="1">
      <alignment vertical="center"/>
    </xf>
    <xf numFmtId="0" fontId="37" fillId="0" borderId="0" xfId="0" applyFont="1" applyAlignment="1">
      <alignment vertical="center"/>
    </xf>
    <xf numFmtId="0" fontId="36" fillId="3" borderId="0" xfId="0" applyFont="1" applyFill="1" applyAlignment="1">
      <alignment vertical="center"/>
    </xf>
    <xf numFmtId="0" fontId="39" fillId="3" borderId="0" xfId="0" applyFont="1" applyFill="1" applyAlignment="1">
      <alignment vertical="center"/>
    </xf>
    <xf numFmtId="0" fontId="23" fillId="0" borderId="0" xfId="0" applyFont="1" applyAlignment="1">
      <alignment vertical="center"/>
    </xf>
    <xf numFmtId="0" fontId="37" fillId="0" borderId="0" xfId="0" applyFont="1" applyAlignment="1">
      <alignment vertical="center" wrapText="1"/>
    </xf>
    <xf numFmtId="164" fontId="37" fillId="0" borderId="0" xfId="0" applyNumberFormat="1" applyFont="1" applyAlignment="1">
      <alignment vertical="center"/>
    </xf>
    <xf numFmtId="0" fontId="36" fillId="3" borderId="0" xfId="0" applyFont="1" applyFill="1"/>
    <xf numFmtId="0" fontId="36" fillId="0" borderId="0" xfId="0" applyFont="1"/>
    <xf numFmtId="0" fontId="34" fillId="0" borderId="0" xfId="0" applyFont="1"/>
    <xf numFmtId="0" fontId="39" fillId="0" borderId="0" xfId="0" applyFont="1"/>
    <xf numFmtId="0" fontId="40" fillId="0" borderId="0" xfId="1" applyFont="1" applyFill="1" applyBorder="1"/>
    <xf numFmtId="0" fontId="41" fillId="0" borderId="0" xfId="0" applyFont="1"/>
    <xf numFmtId="165" fontId="42" fillId="4" borderId="0" xfId="0" applyNumberFormat="1" applyFont="1" applyFill="1" applyAlignment="1">
      <alignment horizontal="right"/>
    </xf>
    <xf numFmtId="165" fontId="42" fillId="0" borderId="0" xfId="0" applyNumberFormat="1" applyFont="1" applyAlignment="1">
      <alignment horizontal="right"/>
    </xf>
    <xf numFmtId="164" fontId="42" fillId="4" borderId="0" xfId="0" applyNumberFormat="1" applyFont="1" applyFill="1"/>
    <xf numFmtId="1" fontId="41" fillId="4" borderId="0" xfId="0" applyNumberFormat="1" applyFont="1" applyFill="1"/>
    <xf numFmtId="1" fontId="41" fillId="0" borderId="0" xfId="0" applyNumberFormat="1" applyFont="1"/>
    <xf numFmtId="44" fontId="41" fillId="4" borderId="0" xfId="0" applyNumberFormat="1" applyFont="1" applyFill="1"/>
    <xf numFmtId="6" fontId="41" fillId="0" borderId="0" xfId="0" applyNumberFormat="1" applyFont="1"/>
    <xf numFmtId="9" fontId="41" fillId="4" borderId="0" xfId="0" applyNumberFormat="1" applyFont="1" applyFill="1"/>
    <xf numFmtId="9" fontId="41" fillId="0" borderId="0" xfId="0" applyNumberFormat="1" applyFont="1"/>
    <xf numFmtId="0" fontId="39" fillId="3" borderId="0" xfId="0" applyFont="1" applyFill="1"/>
    <xf numFmtId="0" fontId="43" fillId="0" borderId="0" xfId="0" applyFont="1" applyAlignment="1">
      <alignment horizontal="left" vertical="center" wrapText="1"/>
    </xf>
    <xf numFmtId="0" fontId="43" fillId="0" borderId="0" xfId="0" applyFont="1" applyAlignment="1">
      <alignment horizontal="center" vertical="center" wrapText="1"/>
    </xf>
    <xf numFmtId="164" fontId="37" fillId="0" borderId="0" xfId="0" applyNumberFormat="1" applyFont="1"/>
    <xf numFmtId="0" fontId="41" fillId="0" borderId="0" xfId="0" applyFont="1" applyAlignment="1">
      <alignment vertical="center"/>
    </xf>
    <xf numFmtId="0" fontId="23" fillId="0" borderId="0" xfId="0" applyFont="1" applyAlignment="1">
      <alignment horizontal="left" vertical="center" wrapText="1"/>
    </xf>
    <xf numFmtId="0" fontId="23" fillId="0" borderId="0" xfId="0" applyFont="1" applyAlignment="1">
      <alignment horizontal="center" vertical="center" wrapText="1"/>
    </xf>
    <xf numFmtId="0" fontId="43" fillId="0" borderId="0" xfId="0" applyFont="1" applyAlignment="1">
      <alignment horizontal="left" vertical="center"/>
    </xf>
    <xf numFmtId="0" fontId="44" fillId="0" borderId="0" xfId="1" applyFont="1" applyBorder="1" applyAlignment="1">
      <alignment vertical="center"/>
    </xf>
    <xf numFmtId="6" fontId="37" fillId="0" borderId="0" xfId="0" applyNumberFormat="1" applyFont="1"/>
    <xf numFmtId="0" fontId="44" fillId="0" borderId="0" xfId="1" applyFont="1" applyBorder="1" applyAlignment="1">
      <alignment vertical="center" wrapText="1"/>
    </xf>
    <xf numFmtId="0" fontId="37" fillId="0" borderId="0" xfId="0" applyFont="1" applyAlignment="1">
      <alignment horizontal="right"/>
    </xf>
    <xf numFmtId="0" fontId="45" fillId="0" borderId="0" xfId="0" applyFont="1"/>
    <xf numFmtId="0" fontId="46" fillId="0" borderId="0" xfId="0" applyFont="1" applyAlignment="1">
      <alignment horizontal="left"/>
    </xf>
    <xf numFmtId="0" fontId="23" fillId="0" borderId="2" xfId="0" applyFont="1" applyBorder="1"/>
    <xf numFmtId="0" fontId="23" fillId="0" borderId="0" xfId="0" applyFont="1"/>
    <xf numFmtId="0" fontId="47" fillId="0" borderId="0" xfId="0" applyFont="1" applyAlignment="1">
      <alignment horizontal="left"/>
    </xf>
    <xf numFmtId="0" fontId="41" fillId="0" borderId="2" xfId="0" applyFont="1" applyBorder="1"/>
    <xf numFmtId="1" fontId="41" fillId="0" borderId="2" xfId="0" applyNumberFormat="1" applyFont="1" applyBorder="1"/>
    <xf numFmtId="9" fontId="41" fillId="0" borderId="2" xfId="0" applyNumberFormat="1" applyFont="1" applyBorder="1"/>
    <xf numFmtId="0" fontId="37" fillId="0" borderId="0" xfId="0" applyFont="1" applyAlignment="1">
      <alignment horizontal="left"/>
    </xf>
    <xf numFmtId="0" fontId="41" fillId="0" borderId="0" xfId="0" applyFont="1" applyAlignment="1">
      <alignment horizontal="center"/>
    </xf>
    <xf numFmtId="6" fontId="41" fillId="0" borderId="2" xfId="0" applyNumberFormat="1" applyFont="1" applyBorder="1"/>
    <xf numFmtId="0" fontId="36" fillId="3" borderId="2" xfId="0" applyFont="1" applyFill="1" applyBorder="1" applyAlignment="1">
      <alignment horizontal="center"/>
    </xf>
    <xf numFmtId="0" fontId="23" fillId="2" borderId="2" xfId="0" applyFont="1" applyFill="1" applyBorder="1" applyAlignment="1">
      <alignment horizontal="right"/>
    </xf>
    <xf numFmtId="0" fontId="8" fillId="0" borderId="0" xfId="1" applyBorder="1" applyAlignment="1">
      <alignment vertical="center" wrapText="1"/>
    </xf>
    <xf numFmtId="0" fontId="48" fillId="0" borderId="0" xfId="0" applyFont="1" applyAlignment="1">
      <alignment horizontal="right"/>
    </xf>
    <xf numFmtId="165" fontId="49" fillId="0" borderId="0" xfId="0" applyNumberFormat="1" applyFont="1" applyAlignment="1">
      <alignment horizontal="right"/>
    </xf>
    <xf numFmtId="0" fontId="27" fillId="3" borderId="0" xfId="0" applyFont="1" applyFill="1" applyAlignment="1">
      <alignment horizontal="left" vertical="center" wrapText="1"/>
    </xf>
    <xf numFmtId="0" fontId="28" fillId="3" borderId="0" xfId="0" applyFont="1" applyFill="1" applyAlignment="1">
      <alignment horizontal="left" vertical="center" wrapText="1"/>
    </xf>
    <xf numFmtId="0" fontId="28" fillId="3" borderId="0" xfId="0" applyFont="1" applyFill="1" applyAlignment="1">
      <alignment horizontal="left"/>
    </xf>
    <xf numFmtId="0" fontId="17" fillId="3" borderId="0" xfId="0" applyFont="1" applyFill="1" applyAlignment="1">
      <alignment horizontal="left"/>
    </xf>
    <xf numFmtId="0" fontId="12" fillId="0" borderId="3" xfId="0" applyFont="1" applyBorder="1" applyAlignment="1">
      <alignment horizontal="center"/>
    </xf>
    <xf numFmtId="0" fontId="12" fillId="0" borderId="4" xfId="0" applyFont="1" applyBorder="1" applyAlignment="1">
      <alignment horizontal="center"/>
    </xf>
    <xf numFmtId="0" fontId="9" fillId="3" borderId="3" xfId="0" applyFont="1" applyFill="1" applyBorder="1" applyAlignment="1">
      <alignment horizontal="center"/>
    </xf>
    <xf numFmtId="0" fontId="9" fillId="3" borderId="4" xfId="0" applyFont="1" applyFill="1" applyBorder="1" applyAlignment="1">
      <alignment horizontal="center"/>
    </xf>
    <xf numFmtId="0" fontId="10" fillId="3" borderId="7"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10" xfId="0" applyFont="1" applyFill="1" applyBorder="1" applyAlignment="1">
      <alignment horizontal="center" vertical="center"/>
    </xf>
    <xf numFmtId="0" fontId="16" fillId="0" borderId="3" xfId="0" applyFont="1" applyBorder="1" applyAlignment="1">
      <alignment horizontal="center"/>
    </xf>
    <xf numFmtId="0" fontId="16" fillId="0" borderId="4" xfId="0" applyFont="1" applyBorder="1" applyAlignment="1">
      <alignment horizontal="center"/>
    </xf>
    <xf numFmtId="0" fontId="17" fillId="3" borderId="0" xfId="0" applyFont="1" applyFill="1" applyAlignment="1">
      <alignment horizontal="left" vertical="center" wrapText="1"/>
    </xf>
    <xf numFmtId="0" fontId="18" fillId="3" borderId="0" xfId="0" applyFont="1" applyFill="1" applyAlignment="1">
      <alignment horizontal="left" wrapText="1"/>
    </xf>
    <xf numFmtId="0" fontId="25" fillId="3" borderId="0" xfId="0" applyFont="1" applyFill="1" applyAlignment="1">
      <alignment horizontal="left" vertical="center" wrapText="1"/>
    </xf>
    <xf numFmtId="0" fontId="28" fillId="3" borderId="0" xfId="0" applyFont="1" applyFill="1" applyAlignment="1">
      <alignment horizontal="left" vertical="center"/>
    </xf>
    <xf numFmtId="0" fontId="26" fillId="4" borderId="0" xfId="0" applyFont="1" applyFill="1" applyAlignment="1">
      <alignment horizontal="left" vertical="center"/>
    </xf>
    <xf numFmtId="0" fontId="20" fillId="4" borderId="0" xfId="0" applyFont="1" applyFill="1" applyAlignment="1">
      <alignment horizontal="center" vertical="center"/>
    </xf>
    <xf numFmtId="0" fontId="13" fillId="0" borderId="3" xfId="0" applyFont="1" applyBorder="1" applyAlignment="1">
      <alignment horizontal="center"/>
    </xf>
    <xf numFmtId="0" fontId="11" fillId="0" borderId="3" xfId="0" applyFont="1" applyBorder="1" applyAlignment="1">
      <alignment horizontal="center"/>
    </xf>
    <xf numFmtId="0" fontId="11" fillId="5" borderId="9" xfId="0" applyFont="1" applyFill="1" applyBorder="1" applyAlignment="1">
      <alignment horizontal="left"/>
    </xf>
    <xf numFmtId="0" fontId="13" fillId="5" borderId="5" xfId="0" applyFont="1" applyFill="1" applyBorder="1" applyAlignment="1">
      <alignment horizontal="left"/>
    </xf>
    <xf numFmtId="0" fontId="36" fillId="3" borderId="0" xfId="0" applyFont="1" applyFill="1" applyAlignment="1">
      <alignment horizontal="left" vertical="center" wrapText="1"/>
    </xf>
    <xf numFmtId="0" fontId="30" fillId="3" borderId="0" xfId="0" applyFont="1" applyFill="1" applyAlignment="1">
      <alignment horizontal="left" wrapText="1"/>
    </xf>
    <xf numFmtId="0" fontId="23" fillId="4" borderId="0" xfId="0" applyFont="1" applyFill="1" applyAlignment="1">
      <alignment horizontal="left" vertical="center"/>
    </xf>
    <xf numFmtId="0" fontId="23" fillId="4" borderId="0" xfId="0" applyFont="1" applyFill="1" applyAlignment="1">
      <alignment horizontal="center" vertical="center"/>
    </xf>
    <xf numFmtId="0" fontId="30" fillId="3" borderId="0" xfId="0" applyFont="1" applyFill="1" applyAlignment="1">
      <alignment horizontal="left" vertical="center"/>
    </xf>
    <xf numFmtId="0" fontId="30" fillId="3" borderId="0" xfId="0" applyFont="1" applyFill="1" applyAlignment="1">
      <alignment horizontal="left" vertical="center" wrapText="1"/>
    </xf>
    <xf numFmtId="0" fontId="35" fillId="3" borderId="7" xfId="0" applyFont="1" applyFill="1" applyBorder="1" applyAlignment="1">
      <alignment horizontal="center" vertical="center"/>
    </xf>
    <xf numFmtId="0" fontId="35" fillId="3" borderId="6" xfId="0" applyFont="1" applyFill="1" applyBorder="1" applyAlignment="1">
      <alignment horizontal="center" vertical="center"/>
    </xf>
    <xf numFmtId="0" fontId="35" fillId="3" borderId="8" xfId="0" applyFont="1" applyFill="1" applyBorder="1" applyAlignment="1">
      <alignment horizontal="center" vertical="center"/>
    </xf>
    <xf numFmtId="0" fontId="35" fillId="3" borderId="9" xfId="0" applyFont="1" applyFill="1" applyBorder="1" applyAlignment="1">
      <alignment horizontal="center" vertical="center"/>
    </xf>
    <xf numFmtId="0" fontId="35" fillId="3" borderId="5" xfId="0" applyFont="1" applyFill="1" applyBorder="1" applyAlignment="1">
      <alignment horizontal="center" vertical="center"/>
    </xf>
    <xf numFmtId="0" fontId="35" fillId="3" borderId="10" xfId="0" applyFont="1" applyFill="1" applyBorder="1" applyAlignment="1">
      <alignment horizontal="center" vertical="center"/>
    </xf>
    <xf numFmtId="0" fontId="23" fillId="0" borderId="3" xfId="0" applyFont="1" applyBorder="1" applyAlignment="1">
      <alignment horizontal="center"/>
    </xf>
    <xf numFmtId="0" fontId="23" fillId="0" borderId="4" xfId="0" applyFont="1" applyBorder="1" applyAlignment="1">
      <alignment horizontal="center"/>
    </xf>
    <xf numFmtId="0" fontId="41" fillId="0" borderId="3" xfId="0" applyFont="1" applyBorder="1" applyAlignment="1">
      <alignment horizontal="center"/>
    </xf>
    <xf numFmtId="0" fontId="41" fillId="0" borderId="4" xfId="0" applyFont="1" applyBorder="1" applyAlignment="1">
      <alignment horizontal="center"/>
    </xf>
    <xf numFmtId="0" fontId="30" fillId="3" borderId="0" xfId="0" applyFont="1" applyFill="1" applyAlignment="1">
      <alignment horizontal="left"/>
    </xf>
    <xf numFmtId="0" fontId="36" fillId="3" borderId="0" xfId="0" applyFont="1" applyFill="1" applyAlignment="1">
      <alignment horizontal="left"/>
    </xf>
    <xf numFmtId="0" fontId="36" fillId="3" borderId="3" xfId="0" applyFont="1" applyFill="1" applyBorder="1" applyAlignment="1">
      <alignment horizontal="center"/>
    </xf>
    <xf numFmtId="0" fontId="36" fillId="3" borderId="4" xfId="0" applyFont="1" applyFill="1" applyBorder="1" applyAlignment="1">
      <alignment horizontal="center"/>
    </xf>
    <xf numFmtId="0" fontId="23" fillId="5" borderId="9" xfId="0" applyFont="1" applyFill="1" applyBorder="1" applyAlignment="1">
      <alignment horizontal="left"/>
    </xf>
    <xf numFmtId="0" fontId="41" fillId="5" borderId="5" xfId="0" applyFont="1" applyFill="1" applyBorder="1" applyAlignment="1">
      <alignment horizontal="left"/>
    </xf>
    <xf numFmtId="0" fontId="1" fillId="0" borderId="0" xfId="0" applyFont="1"/>
    <xf numFmtId="0" fontId="1" fillId="0" borderId="0" xfId="0" applyFont="1" applyAlignment="1">
      <alignment horizontal="right"/>
    </xf>
  </cellXfs>
  <cellStyles count="2">
    <cellStyle name="Hyperlink" xfId="1" builtinId="8"/>
    <cellStyle name="Normal" xfId="0" builtinId="0"/>
  </cellStyles>
  <dxfs count="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EED2FA"/>
      <color rgb="FF6E38D5"/>
      <color rgb="FFFF8585"/>
      <color rgb="FFFE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tephanie Domrose" id="{B6208FEB-8436-4C45-8C11-11196FA7513E}" userId="S::stephanie.domrose@purposebrands.com::dd423aca-5996-4c33-92a8-e399f45db5a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5" dT="2026-01-27T16:39:21.47" personId="{B6208FEB-8436-4C45-8C11-11196FA7513E}" id="{154983E3-8165-4B68-B192-E37FCDB7A5D3}">
    <text>Do our franchisees like/need to see the unadjusted revenue?  I can see how the impact of that number is powerful - I'm just wondering how we might simplify this if it's intended to be a tool that the FZ's will use on their own.  Does it make more sense to have just one or the other?  (adjusted or unadjusted)?  OR - if this is meant to be an FBC coaching tool, perhaps both make sense.  Would love to talk through it.</text>
  </threadedComment>
</ThreadedComment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resourcecenter.sebrands.com/af/af-recovery-room-standards-148230829.html" TargetMode="External"/><Relationship Id="rId1" Type="http://schemas.openxmlformats.org/officeDocument/2006/relationships/hyperlink" Target="https://resourcecenter.sebrands.com/af/recovery-room-door-access-settings-170631001.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resourcecenter.sebrands.com/af/af-recovery-room-standards-148230829.html" TargetMode="External"/><Relationship Id="rId1" Type="http://schemas.openxmlformats.org/officeDocument/2006/relationships/hyperlink" Target="https://resourcecenter.sebrands.com/af/door-service-access-control-103758009.html" TargetMode="Externa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995A-0AA9-4630-B87D-6E3CDF9E3D1C}">
  <dimension ref="A1:X16"/>
  <sheetViews>
    <sheetView topLeftCell="Q1" workbookViewId="0">
      <selection activeCell="X4" sqref="X4"/>
    </sheetView>
  </sheetViews>
  <sheetFormatPr defaultRowHeight="14.45"/>
  <cols>
    <col min="1" max="1" width="21.5703125" bestFit="1" customWidth="1"/>
    <col min="2" max="2" width="26" bestFit="1" customWidth="1"/>
    <col min="3" max="3" width="4.85546875" bestFit="1" customWidth="1"/>
    <col min="23" max="23" width="28.28515625" bestFit="1" customWidth="1"/>
  </cols>
  <sheetData>
    <row r="1" spans="1:24">
      <c r="A1" s="1" t="s">
        <v>0</v>
      </c>
      <c r="B1" s="1" t="s">
        <v>1</v>
      </c>
      <c r="C1" s="1"/>
      <c r="D1" s="2"/>
      <c r="E1" s="2"/>
      <c r="F1" s="2"/>
      <c r="G1" s="2"/>
      <c r="H1" s="2"/>
      <c r="I1" s="2"/>
      <c r="J1" s="2"/>
      <c r="K1" s="2"/>
      <c r="L1" s="2"/>
      <c r="M1" s="2"/>
      <c r="N1" s="2"/>
      <c r="O1" s="2"/>
      <c r="P1" s="2"/>
      <c r="Q1" s="2"/>
      <c r="R1" s="2"/>
      <c r="S1" s="2"/>
      <c r="T1" s="2"/>
      <c r="U1" s="2"/>
      <c r="V1" s="2"/>
      <c r="W1" s="1" t="s">
        <v>2</v>
      </c>
      <c r="X1" s="2"/>
    </row>
    <row r="2" spans="1:24">
      <c r="A2" s="1" t="s">
        <v>3</v>
      </c>
      <c r="B2" s="2" t="s">
        <v>4</v>
      </c>
      <c r="C2" s="2"/>
      <c r="D2" s="2"/>
      <c r="E2" s="2"/>
      <c r="F2" s="2"/>
      <c r="G2" s="2"/>
      <c r="H2" s="2"/>
      <c r="I2" s="2"/>
      <c r="J2" s="2"/>
      <c r="K2" s="2"/>
      <c r="L2" s="2"/>
      <c r="M2" s="2"/>
      <c r="N2" s="2"/>
      <c r="O2" s="2"/>
      <c r="P2" s="2"/>
      <c r="Q2" s="2"/>
      <c r="R2" s="2"/>
      <c r="S2" s="2"/>
      <c r="T2" s="2"/>
      <c r="U2" s="2"/>
      <c r="V2" s="2"/>
      <c r="W2" s="2" t="s">
        <v>5</v>
      </c>
      <c r="X2" s="3">
        <v>6500</v>
      </c>
    </row>
    <row r="3" spans="1:24">
      <c r="A3" s="1" t="s">
        <v>6</v>
      </c>
      <c r="B3" s="2"/>
      <c r="C3" s="2"/>
      <c r="D3" s="1">
        <v>1</v>
      </c>
      <c r="E3" s="1">
        <v>2</v>
      </c>
      <c r="F3" s="1">
        <v>3</v>
      </c>
      <c r="G3" s="1">
        <v>4</v>
      </c>
      <c r="H3" s="1">
        <v>5</v>
      </c>
      <c r="I3" s="1">
        <v>6</v>
      </c>
      <c r="J3" s="1">
        <v>7</v>
      </c>
      <c r="K3" s="1">
        <v>8</v>
      </c>
      <c r="L3" s="1">
        <v>9</v>
      </c>
      <c r="M3" s="1">
        <v>10</v>
      </c>
      <c r="N3" s="1">
        <v>11</v>
      </c>
      <c r="O3" s="1">
        <v>12</v>
      </c>
      <c r="P3" s="1">
        <v>13</v>
      </c>
      <c r="Q3" s="1">
        <v>14</v>
      </c>
      <c r="R3" s="1">
        <v>15</v>
      </c>
      <c r="S3" s="1">
        <v>16</v>
      </c>
      <c r="T3" s="1">
        <v>17</v>
      </c>
      <c r="U3" s="1">
        <v>18</v>
      </c>
      <c r="V3" s="1"/>
      <c r="W3" s="2" t="s">
        <v>7</v>
      </c>
      <c r="X3" s="3">
        <v>10</v>
      </c>
    </row>
    <row r="4" spans="1:24">
      <c r="A4" s="2"/>
      <c r="B4" s="2" t="s">
        <v>8</v>
      </c>
      <c r="C4" s="2"/>
      <c r="D4" s="2">
        <v>6</v>
      </c>
      <c r="E4" s="2">
        <v>6</v>
      </c>
      <c r="F4" s="2">
        <v>6</v>
      </c>
      <c r="G4" s="2">
        <v>6</v>
      </c>
      <c r="H4" s="2">
        <v>6</v>
      </c>
      <c r="I4" s="2">
        <v>6</v>
      </c>
      <c r="J4" s="2">
        <v>6</v>
      </c>
      <c r="K4" s="2">
        <v>6</v>
      </c>
      <c r="L4" s="2">
        <v>6</v>
      </c>
      <c r="M4" s="2">
        <v>6</v>
      </c>
      <c r="N4" s="2">
        <v>6</v>
      </c>
      <c r="O4" s="2">
        <v>6</v>
      </c>
      <c r="P4" s="2">
        <v>6</v>
      </c>
      <c r="Q4" s="2">
        <v>6</v>
      </c>
      <c r="R4" s="2">
        <v>6</v>
      </c>
      <c r="S4" s="2">
        <v>6</v>
      </c>
      <c r="T4" s="2">
        <v>6</v>
      </c>
      <c r="U4" s="2">
        <v>6</v>
      </c>
      <c r="V4" s="2"/>
      <c r="W4" s="2" t="s">
        <v>9</v>
      </c>
      <c r="X4" s="3">
        <v>70</v>
      </c>
    </row>
    <row r="5" spans="1:24">
      <c r="A5" s="4" t="s">
        <v>10</v>
      </c>
      <c r="B5" s="4" t="s">
        <v>11</v>
      </c>
      <c r="C5" s="4"/>
      <c r="D5" s="4">
        <f>D4</f>
        <v>6</v>
      </c>
      <c r="E5" s="4">
        <f>D5+E4</f>
        <v>12</v>
      </c>
      <c r="F5" s="4">
        <f t="shared" ref="F5:U5" si="0">E5+F4</f>
        <v>18</v>
      </c>
      <c r="G5" s="4">
        <f t="shared" si="0"/>
        <v>24</v>
      </c>
      <c r="H5" s="4">
        <f t="shared" si="0"/>
        <v>30</v>
      </c>
      <c r="I5" s="4">
        <f t="shared" si="0"/>
        <v>36</v>
      </c>
      <c r="J5" s="4">
        <f t="shared" si="0"/>
        <v>42</v>
      </c>
      <c r="K5" s="4">
        <f t="shared" si="0"/>
        <v>48</v>
      </c>
      <c r="L5" s="4">
        <f t="shared" si="0"/>
        <v>54</v>
      </c>
      <c r="M5" s="4">
        <f t="shared" si="0"/>
        <v>60</v>
      </c>
      <c r="N5" s="4">
        <f t="shared" si="0"/>
        <v>66</v>
      </c>
      <c r="O5" s="4">
        <f t="shared" si="0"/>
        <v>72</v>
      </c>
      <c r="P5" s="4">
        <f t="shared" si="0"/>
        <v>78</v>
      </c>
      <c r="Q5" s="4">
        <f t="shared" si="0"/>
        <v>84</v>
      </c>
      <c r="R5" s="4">
        <f t="shared" si="0"/>
        <v>90</v>
      </c>
      <c r="S5" s="4">
        <f t="shared" si="0"/>
        <v>96</v>
      </c>
      <c r="T5" s="4">
        <f t="shared" si="0"/>
        <v>102</v>
      </c>
      <c r="U5" s="4">
        <f t="shared" si="0"/>
        <v>108</v>
      </c>
      <c r="V5" s="2"/>
      <c r="W5" s="1" t="s">
        <v>12</v>
      </c>
      <c r="X5" s="2"/>
    </row>
    <row r="6" spans="1:24">
      <c r="A6" s="1" t="s">
        <v>13</v>
      </c>
      <c r="B6" s="2"/>
      <c r="C6" s="2"/>
      <c r="D6" s="2"/>
      <c r="E6" s="2"/>
      <c r="F6" s="2"/>
      <c r="G6" s="2"/>
      <c r="H6" s="2"/>
      <c r="I6" s="2"/>
      <c r="J6" s="2"/>
      <c r="K6" s="2"/>
      <c r="L6" s="2"/>
      <c r="M6" s="2"/>
      <c r="N6" s="2"/>
      <c r="O6" s="2"/>
      <c r="P6" s="2"/>
      <c r="Q6" s="2"/>
      <c r="R6" s="2"/>
      <c r="S6" s="2"/>
      <c r="T6" s="2"/>
      <c r="U6" s="2"/>
      <c r="V6" s="2"/>
      <c r="W6" s="2" t="s">
        <v>14</v>
      </c>
      <c r="X6" s="6">
        <f>_xlfn.XLOOKUP(X2,D10:U10,D3:U3," ",1,1)</f>
        <v>15</v>
      </c>
    </row>
    <row r="7" spans="1:24">
      <c r="A7" s="2"/>
      <c r="B7" s="2" t="s">
        <v>15</v>
      </c>
      <c r="C7" s="3">
        <f>X3</f>
        <v>10</v>
      </c>
      <c r="D7" s="3">
        <f>$C$7</f>
        <v>10</v>
      </c>
      <c r="E7" s="3">
        <f t="shared" ref="E7:U7" si="1">$C$7</f>
        <v>10</v>
      </c>
      <c r="F7" s="3">
        <f t="shared" si="1"/>
        <v>10</v>
      </c>
      <c r="G7" s="3">
        <f t="shared" si="1"/>
        <v>10</v>
      </c>
      <c r="H7" s="3">
        <f t="shared" si="1"/>
        <v>10</v>
      </c>
      <c r="I7" s="3">
        <f t="shared" si="1"/>
        <v>10</v>
      </c>
      <c r="J7" s="3">
        <f t="shared" si="1"/>
        <v>10</v>
      </c>
      <c r="K7" s="3">
        <f t="shared" si="1"/>
        <v>10</v>
      </c>
      <c r="L7" s="3">
        <f t="shared" si="1"/>
        <v>10</v>
      </c>
      <c r="M7" s="3">
        <f t="shared" si="1"/>
        <v>10</v>
      </c>
      <c r="N7" s="3">
        <f t="shared" si="1"/>
        <v>10</v>
      </c>
      <c r="O7" s="3">
        <f t="shared" si="1"/>
        <v>10</v>
      </c>
      <c r="P7" s="3">
        <f t="shared" si="1"/>
        <v>10</v>
      </c>
      <c r="Q7" s="3">
        <f t="shared" si="1"/>
        <v>10</v>
      </c>
      <c r="R7" s="3">
        <f t="shared" si="1"/>
        <v>10</v>
      </c>
      <c r="S7" s="3">
        <f t="shared" si="1"/>
        <v>10</v>
      </c>
      <c r="T7" s="3">
        <f t="shared" si="1"/>
        <v>10</v>
      </c>
      <c r="U7" s="3">
        <f t="shared" si="1"/>
        <v>10</v>
      </c>
      <c r="V7" s="3"/>
      <c r="W7" s="2" t="s">
        <v>16</v>
      </c>
      <c r="X7" s="6" t="str">
        <f>_xlfn.XLOOKUP((X2*2),D10:U10,D3:U3," ",1,1)</f>
        <v xml:space="preserve"> </v>
      </c>
    </row>
    <row r="8" spans="1:24">
      <c r="A8" s="2"/>
      <c r="B8" s="2"/>
      <c r="C8" s="2"/>
      <c r="D8" s="2"/>
      <c r="E8" s="2"/>
      <c r="F8" s="2"/>
      <c r="G8" s="2"/>
      <c r="H8" s="2"/>
      <c r="I8" s="2"/>
      <c r="J8" s="2"/>
      <c r="K8" s="2"/>
      <c r="L8" s="2"/>
      <c r="M8" s="2"/>
      <c r="N8" s="2"/>
      <c r="O8" s="2"/>
      <c r="P8" s="2"/>
      <c r="Q8" s="2"/>
      <c r="R8" s="2"/>
      <c r="S8" s="2"/>
      <c r="T8" s="2"/>
      <c r="U8" s="2"/>
      <c r="V8" s="2"/>
      <c r="W8" s="1" t="s">
        <v>17</v>
      </c>
      <c r="X8" s="6"/>
    </row>
    <row r="9" spans="1:24">
      <c r="A9" s="2"/>
      <c r="B9" s="2" t="s">
        <v>18</v>
      </c>
      <c r="C9" s="2"/>
      <c r="D9" s="3">
        <f>D5*D7</f>
        <v>60</v>
      </c>
      <c r="E9" s="3">
        <f t="shared" ref="E9:U9" si="2">E5*E7</f>
        <v>120</v>
      </c>
      <c r="F9" s="3">
        <f t="shared" si="2"/>
        <v>180</v>
      </c>
      <c r="G9" s="3">
        <f t="shared" si="2"/>
        <v>240</v>
      </c>
      <c r="H9" s="3">
        <f t="shared" si="2"/>
        <v>300</v>
      </c>
      <c r="I9" s="3">
        <f t="shared" si="2"/>
        <v>360</v>
      </c>
      <c r="J9" s="3">
        <f t="shared" si="2"/>
        <v>420</v>
      </c>
      <c r="K9" s="3">
        <f t="shared" si="2"/>
        <v>480</v>
      </c>
      <c r="L9" s="3">
        <f t="shared" si="2"/>
        <v>540</v>
      </c>
      <c r="M9" s="3">
        <f t="shared" si="2"/>
        <v>600</v>
      </c>
      <c r="N9" s="3">
        <f t="shared" si="2"/>
        <v>660</v>
      </c>
      <c r="O9" s="3">
        <f t="shared" si="2"/>
        <v>720</v>
      </c>
      <c r="P9" s="3">
        <f t="shared" si="2"/>
        <v>780</v>
      </c>
      <c r="Q9" s="3">
        <f t="shared" si="2"/>
        <v>840</v>
      </c>
      <c r="R9" s="3">
        <f t="shared" si="2"/>
        <v>900</v>
      </c>
      <c r="S9" s="3">
        <f t="shared" si="2"/>
        <v>960</v>
      </c>
      <c r="T9" s="3">
        <f t="shared" si="2"/>
        <v>1020</v>
      </c>
      <c r="U9" s="3">
        <f t="shared" si="2"/>
        <v>1080</v>
      </c>
      <c r="V9" s="3"/>
      <c r="W9" s="2" t="s">
        <v>14</v>
      </c>
      <c r="X9" s="6">
        <f>_xlfn.XLOOKUP(X2,D15:U15,D3:U3," ",1,1)</f>
        <v>6</v>
      </c>
    </row>
    <row r="10" spans="1:24">
      <c r="A10" s="4" t="s">
        <v>10</v>
      </c>
      <c r="B10" s="4" t="s">
        <v>19</v>
      </c>
      <c r="C10" s="4"/>
      <c r="D10" s="5">
        <f>D9</f>
        <v>60</v>
      </c>
      <c r="E10" s="5">
        <f>D10+E9</f>
        <v>180</v>
      </c>
      <c r="F10" s="5">
        <f t="shared" ref="F10:U10" si="3">E10+F9</f>
        <v>360</v>
      </c>
      <c r="G10" s="5">
        <f t="shared" si="3"/>
        <v>600</v>
      </c>
      <c r="H10" s="5">
        <f t="shared" si="3"/>
        <v>900</v>
      </c>
      <c r="I10" s="5">
        <f t="shared" si="3"/>
        <v>1260</v>
      </c>
      <c r="J10" s="5">
        <f t="shared" si="3"/>
        <v>1680</v>
      </c>
      <c r="K10" s="5">
        <f t="shared" si="3"/>
        <v>2160</v>
      </c>
      <c r="L10" s="5">
        <f t="shared" si="3"/>
        <v>2700</v>
      </c>
      <c r="M10" s="5">
        <f t="shared" si="3"/>
        <v>3300</v>
      </c>
      <c r="N10" s="5">
        <f t="shared" si="3"/>
        <v>3960</v>
      </c>
      <c r="O10" s="5">
        <f t="shared" si="3"/>
        <v>4680</v>
      </c>
      <c r="P10" s="5">
        <f t="shared" si="3"/>
        <v>5460</v>
      </c>
      <c r="Q10" s="5">
        <f t="shared" si="3"/>
        <v>6300</v>
      </c>
      <c r="R10" s="5">
        <f t="shared" si="3"/>
        <v>7200</v>
      </c>
      <c r="S10" s="5">
        <f t="shared" si="3"/>
        <v>8160</v>
      </c>
      <c r="T10" s="5">
        <f t="shared" si="3"/>
        <v>9180</v>
      </c>
      <c r="U10" s="5">
        <f t="shared" si="3"/>
        <v>10260</v>
      </c>
      <c r="V10" s="3"/>
      <c r="W10" s="2" t="s">
        <v>16</v>
      </c>
      <c r="X10" s="6">
        <f>_xlfn.XLOOKUP((X2*2),D15:U15,D3:U3," ",1,1)</f>
        <v>8</v>
      </c>
    </row>
    <row r="11" spans="1:24">
      <c r="A11" s="1" t="s">
        <v>17</v>
      </c>
      <c r="B11" s="2"/>
      <c r="C11" s="2"/>
      <c r="D11" s="2"/>
      <c r="E11" s="2"/>
      <c r="F11" s="2"/>
      <c r="G11" s="2"/>
      <c r="H11" s="2"/>
      <c r="I11" s="2"/>
      <c r="J11" s="2"/>
      <c r="K11" s="2"/>
      <c r="L11" s="2"/>
      <c r="M11" s="2"/>
      <c r="N11" s="2"/>
      <c r="O11" s="2"/>
      <c r="P11" s="2"/>
      <c r="Q11" s="2"/>
      <c r="R11" s="2"/>
      <c r="S11" s="2"/>
      <c r="T11" s="2"/>
      <c r="U11" s="2"/>
      <c r="V11" s="2"/>
      <c r="W11" s="2"/>
      <c r="X11" s="2"/>
    </row>
    <row r="12" spans="1:24">
      <c r="A12" s="2"/>
      <c r="B12" s="2" t="s">
        <v>20</v>
      </c>
      <c r="C12" s="3">
        <f>X4</f>
        <v>70</v>
      </c>
      <c r="D12" s="3">
        <f>$C$12</f>
        <v>70</v>
      </c>
      <c r="E12" s="3">
        <f t="shared" ref="E12:U12" si="4">$C$12</f>
        <v>70</v>
      </c>
      <c r="F12" s="3">
        <f t="shared" si="4"/>
        <v>70</v>
      </c>
      <c r="G12" s="3">
        <f t="shared" si="4"/>
        <v>70</v>
      </c>
      <c r="H12" s="3">
        <f t="shared" si="4"/>
        <v>70</v>
      </c>
      <c r="I12" s="3">
        <f t="shared" si="4"/>
        <v>70</v>
      </c>
      <c r="J12" s="3">
        <f t="shared" si="4"/>
        <v>70</v>
      </c>
      <c r="K12" s="3">
        <f t="shared" si="4"/>
        <v>70</v>
      </c>
      <c r="L12" s="3">
        <f t="shared" si="4"/>
        <v>70</v>
      </c>
      <c r="M12" s="3">
        <f t="shared" si="4"/>
        <v>70</v>
      </c>
      <c r="N12" s="3">
        <f t="shared" si="4"/>
        <v>70</v>
      </c>
      <c r="O12" s="3">
        <f t="shared" si="4"/>
        <v>70</v>
      </c>
      <c r="P12" s="3">
        <f t="shared" si="4"/>
        <v>70</v>
      </c>
      <c r="Q12" s="3">
        <f t="shared" si="4"/>
        <v>70</v>
      </c>
      <c r="R12" s="3">
        <f t="shared" si="4"/>
        <v>70</v>
      </c>
      <c r="S12" s="3">
        <f t="shared" si="4"/>
        <v>70</v>
      </c>
      <c r="T12" s="3">
        <f t="shared" si="4"/>
        <v>70</v>
      </c>
      <c r="U12" s="3">
        <f t="shared" si="4"/>
        <v>70</v>
      </c>
      <c r="V12" s="3"/>
      <c r="W12" s="2"/>
      <c r="X12" s="2"/>
    </row>
    <row r="13" spans="1:24">
      <c r="A13" s="2"/>
      <c r="B13" s="2"/>
      <c r="C13" s="2"/>
      <c r="D13" s="2"/>
      <c r="E13" s="2"/>
      <c r="F13" s="2"/>
      <c r="G13" s="2"/>
      <c r="H13" s="2"/>
      <c r="I13" s="2"/>
      <c r="J13" s="2"/>
      <c r="K13" s="2"/>
      <c r="L13" s="2"/>
      <c r="M13" s="2"/>
      <c r="N13" s="2"/>
      <c r="O13" s="2"/>
      <c r="P13" s="2"/>
      <c r="Q13" s="2"/>
      <c r="R13" s="2"/>
      <c r="S13" s="2"/>
      <c r="T13" s="2"/>
      <c r="U13" s="2"/>
      <c r="V13" s="2"/>
      <c r="W13" s="2"/>
      <c r="X13" s="2"/>
    </row>
    <row r="14" spans="1:24">
      <c r="A14" s="2"/>
      <c r="B14" s="2" t="s">
        <v>18</v>
      </c>
      <c r="C14" s="2"/>
      <c r="D14" s="3">
        <f>D5*D12</f>
        <v>420</v>
      </c>
      <c r="E14" s="3">
        <f t="shared" ref="E14:U14" si="5">E5*E12</f>
        <v>840</v>
      </c>
      <c r="F14" s="3">
        <f t="shared" si="5"/>
        <v>1260</v>
      </c>
      <c r="G14" s="3">
        <f t="shared" si="5"/>
        <v>1680</v>
      </c>
      <c r="H14" s="3">
        <f t="shared" si="5"/>
        <v>2100</v>
      </c>
      <c r="I14" s="3">
        <f t="shared" si="5"/>
        <v>2520</v>
      </c>
      <c r="J14" s="3">
        <f t="shared" si="5"/>
        <v>2940</v>
      </c>
      <c r="K14" s="3">
        <f t="shared" si="5"/>
        <v>3360</v>
      </c>
      <c r="L14" s="3">
        <f t="shared" si="5"/>
        <v>3780</v>
      </c>
      <c r="M14" s="3">
        <f t="shared" si="5"/>
        <v>4200</v>
      </c>
      <c r="N14" s="3">
        <f t="shared" si="5"/>
        <v>4620</v>
      </c>
      <c r="O14" s="3">
        <f t="shared" si="5"/>
        <v>5040</v>
      </c>
      <c r="P14" s="3">
        <f t="shared" si="5"/>
        <v>5460</v>
      </c>
      <c r="Q14" s="3">
        <f t="shared" si="5"/>
        <v>5880</v>
      </c>
      <c r="R14" s="3">
        <f t="shared" si="5"/>
        <v>6300</v>
      </c>
      <c r="S14" s="3">
        <f t="shared" si="5"/>
        <v>6720</v>
      </c>
      <c r="T14" s="3">
        <f t="shared" si="5"/>
        <v>7140</v>
      </c>
      <c r="U14" s="3">
        <f t="shared" si="5"/>
        <v>7560</v>
      </c>
      <c r="V14" s="3"/>
      <c r="W14" s="2"/>
      <c r="X14" s="2"/>
    </row>
    <row r="15" spans="1:24">
      <c r="A15" s="4" t="s">
        <v>10</v>
      </c>
      <c r="B15" s="4" t="s">
        <v>19</v>
      </c>
      <c r="C15" s="4"/>
      <c r="D15" s="5">
        <f>D14</f>
        <v>420</v>
      </c>
      <c r="E15" s="5">
        <f>D15+E14</f>
        <v>1260</v>
      </c>
      <c r="F15" s="5">
        <f t="shared" ref="F15:U15" si="6">E15+F14</f>
        <v>2520</v>
      </c>
      <c r="G15" s="5">
        <f t="shared" si="6"/>
        <v>4200</v>
      </c>
      <c r="H15" s="5">
        <f t="shared" si="6"/>
        <v>6300</v>
      </c>
      <c r="I15" s="5">
        <f t="shared" si="6"/>
        <v>8820</v>
      </c>
      <c r="J15" s="5">
        <f t="shared" si="6"/>
        <v>11760</v>
      </c>
      <c r="K15" s="5">
        <f t="shared" si="6"/>
        <v>15120</v>
      </c>
      <c r="L15" s="5">
        <f t="shared" si="6"/>
        <v>18900</v>
      </c>
      <c r="M15" s="5">
        <f t="shared" si="6"/>
        <v>23100</v>
      </c>
      <c r="N15" s="5">
        <f t="shared" si="6"/>
        <v>27720</v>
      </c>
      <c r="O15" s="5">
        <f t="shared" si="6"/>
        <v>32760</v>
      </c>
      <c r="P15" s="5">
        <f t="shared" si="6"/>
        <v>38220</v>
      </c>
      <c r="Q15" s="5">
        <f t="shared" si="6"/>
        <v>44100</v>
      </c>
      <c r="R15" s="5">
        <f t="shared" si="6"/>
        <v>50400</v>
      </c>
      <c r="S15" s="5">
        <f t="shared" si="6"/>
        <v>57120</v>
      </c>
      <c r="T15" s="5">
        <f t="shared" si="6"/>
        <v>64260</v>
      </c>
      <c r="U15" s="5">
        <f t="shared" si="6"/>
        <v>71820</v>
      </c>
      <c r="V15" s="3"/>
      <c r="W15" s="2"/>
      <c r="X15" s="2"/>
    </row>
    <row r="16" spans="1:24">
      <c r="A16" s="2"/>
      <c r="B16" s="2"/>
      <c r="C16" s="2"/>
      <c r="D16" s="2"/>
      <c r="E16" s="2"/>
      <c r="F16" s="2"/>
      <c r="G16" s="2"/>
      <c r="H16" s="2"/>
      <c r="I16" s="2"/>
      <c r="J16" s="2"/>
      <c r="K16" s="2"/>
      <c r="L16" s="2"/>
      <c r="M16" s="2"/>
      <c r="N16" s="2"/>
      <c r="O16" s="2"/>
      <c r="P16" s="2"/>
      <c r="Q16" s="2"/>
      <c r="R16" s="2"/>
      <c r="S16" s="2"/>
      <c r="T16" s="2"/>
      <c r="U16" s="2"/>
      <c r="V16" s="2"/>
      <c r="W16" s="2"/>
      <c r="X16" s="2"/>
    </row>
  </sheetData>
  <conditionalFormatting sqref="D10:U10">
    <cfRule type="cellIs" dxfId="5" priority="2" operator="greaterThan">
      <formula>$X$2</formula>
    </cfRule>
  </conditionalFormatting>
  <conditionalFormatting sqref="D15:U15">
    <cfRule type="cellIs" dxfId="4" priority="1" operator="greaterThan">
      <formula>$X$2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2C29-1F5C-4C66-B6B2-79B2A3110C12}">
  <dimension ref="A1:X16"/>
  <sheetViews>
    <sheetView topLeftCell="F6" workbookViewId="0">
      <selection activeCell="L17" sqref="L17"/>
    </sheetView>
  </sheetViews>
  <sheetFormatPr defaultRowHeight="14.45"/>
  <cols>
    <col min="1" max="1" width="21.5703125" bestFit="1" customWidth="1"/>
    <col min="2" max="2" width="26" bestFit="1" customWidth="1"/>
    <col min="3" max="3" width="4.85546875" bestFit="1" customWidth="1"/>
    <col min="23" max="23" width="28.28515625" bestFit="1" customWidth="1"/>
  </cols>
  <sheetData>
    <row r="1" spans="1:24">
      <c r="A1" s="1" t="s">
        <v>0</v>
      </c>
      <c r="B1" s="1" t="s">
        <v>21</v>
      </c>
      <c r="C1" s="1"/>
      <c r="D1" s="2"/>
      <c r="E1" s="2"/>
      <c r="F1" s="2"/>
      <c r="G1" s="2"/>
      <c r="H1" s="2"/>
      <c r="I1" s="2"/>
      <c r="J1" s="2"/>
      <c r="K1" s="2"/>
      <c r="L1" s="2"/>
      <c r="M1" s="2"/>
      <c r="N1" s="2"/>
      <c r="O1" s="2"/>
      <c r="P1" s="2"/>
      <c r="Q1" s="2"/>
      <c r="R1" s="2"/>
      <c r="S1" s="2"/>
      <c r="T1" s="2"/>
      <c r="U1" s="2"/>
      <c r="V1" s="2"/>
      <c r="W1" s="1" t="s">
        <v>2</v>
      </c>
      <c r="X1" s="2"/>
    </row>
    <row r="2" spans="1:24">
      <c r="A2" s="1" t="s">
        <v>3</v>
      </c>
      <c r="B2" s="2" t="s">
        <v>4</v>
      </c>
      <c r="C2" s="2"/>
      <c r="D2" s="2"/>
      <c r="E2" s="2"/>
      <c r="F2" s="2"/>
      <c r="G2" s="2"/>
      <c r="H2" s="2"/>
      <c r="I2" s="2"/>
      <c r="J2" s="2"/>
      <c r="K2" s="2"/>
      <c r="L2" s="2"/>
      <c r="M2" s="2"/>
      <c r="N2" s="2"/>
      <c r="O2" s="2"/>
      <c r="P2" s="2"/>
      <c r="Q2" s="2"/>
      <c r="R2" s="2"/>
      <c r="S2" s="2"/>
      <c r="T2" s="2"/>
      <c r="U2" s="2"/>
      <c r="V2" s="2"/>
      <c r="W2" s="2" t="s">
        <v>5</v>
      </c>
      <c r="X2" s="3">
        <v>6500</v>
      </c>
    </row>
    <row r="3" spans="1:24">
      <c r="A3" s="1" t="s">
        <v>6</v>
      </c>
      <c r="B3" s="2"/>
      <c r="C3" s="2"/>
      <c r="D3" s="1">
        <v>1</v>
      </c>
      <c r="E3" s="1">
        <v>2</v>
      </c>
      <c r="F3" s="1">
        <v>3</v>
      </c>
      <c r="G3" s="1">
        <v>4</v>
      </c>
      <c r="H3" s="1">
        <v>5</v>
      </c>
      <c r="I3" s="1">
        <v>6</v>
      </c>
      <c r="J3" s="1">
        <v>7</v>
      </c>
      <c r="K3" s="1">
        <v>8</v>
      </c>
      <c r="L3" s="1">
        <v>9</v>
      </c>
      <c r="M3" s="1">
        <v>10</v>
      </c>
      <c r="N3" s="1">
        <v>11</v>
      </c>
      <c r="O3" s="1">
        <v>12</v>
      </c>
      <c r="P3" s="1">
        <v>13</v>
      </c>
      <c r="Q3" s="1">
        <v>14</v>
      </c>
      <c r="R3" s="1">
        <v>15</v>
      </c>
      <c r="S3" s="1">
        <v>16</v>
      </c>
      <c r="T3" s="1">
        <v>17</v>
      </c>
      <c r="U3" s="1">
        <v>18</v>
      </c>
      <c r="V3" s="1"/>
      <c r="W3" s="2" t="s">
        <v>7</v>
      </c>
      <c r="X3" s="3">
        <v>20</v>
      </c>
    </row>
    <row r="4" spans="1:24">
      <c r="A4" s="2"/>
      <c r="B4" s="2" t="s">
        <v>8</v>
      </c>
      <c r="C4" s="2"/>
      <c r="D4" s="2">
        <v>5</v>
      </c>
      <c r="E4" s="2">
        <v>5</v>
      </c>
      <c r="F4" s="2">
        <v>5</v>
      </c>
      <c r="G4" s="2">
        <v>5</v>
      </c>
      <c r="H4" s="2">
        <v>5</v>
      </c>
      <c r="I4" s="2">
        <v>5</v>
      </c>
      <c r="J4" s="2">
        <v>5</v>
      </c>
      <c r="K4" s="2">
        <v>5</v>
      </c>
      <c r="L4" s="2">
        <v>5</v>
      </c>
      <c r="M4" s="2">
        <v>5</v>
      </c>
      <c r="N4" s="2">
        <v>5</v>
      </c>
      <c r="O4" s="2">
        <v>5</v>
      </c>
      <c r="P4" s="2">
        <v>5</v>
      </c>
      <c r="Q4" s="2">
        <v>5</v>
      </c>
      <c r="R4" s="2">
        <v>5</v>
      </c>
      <c r="S4" s="2">
        <v>5</v>
      </c>
      <c r="T4" s="2">
        <v>5</v>
      </c>
      <c r="U4" s="2">
        <v>5</v>
      </c>
      <c r="V4" s="2"/>
      <c r="W4" s="2" t="s">
        <v>9</v>
      </c>
      <c r="X4" s="3">
        <v>62</v>
      </c>
    </row>
    <row r="5" spans="1:24">
      <c r="A5" s="4" t="s">
        <v>10</v>
      </c>
      <c r="B5" s="4" t="s">
        <v>11</v>
      </c>
      <c r="C5" s="4"/>
      <c r="D5" s="4">
        <f>D4</f>
        <v>5</v>
      </c>
      <c r="E5" s="4">
        <f>D5+E4</f>
        <v>10</v>
      </c>
      <c r="F5" s="4">
        <f t="shared" ref="F5:P5" si="0">E5+F4</f>
        <v>15</v>
      </c>
      <c r="G5" s="4">
        <f t="shared" si="0"/>
        <v>20</v>
      </c>
      <c r="H5" s="4">
        <f t="shared" si="0"/>
        <v>25</v>
      </c>
      <c r="I5" s="4">
        <f t="shared" si="0"/>
        <v>30</v>
      </c>
      <c r="J5" s="4">
        <f t="shared" si="0"/>
        <v>35</v>
      </c>
      <c r="K5" s="4">
        <f t="shared" si="0"/>
        <v>40</v>
      </c>
      <c r="L5" s="4">
        <f t="shared" si="0"/>
        <v>45</v>
      </c>
      <c r="M5" s="4">
        <f t="shared" si="0"/>
        <v>50</v>
      </c>
      <c r="N5" s="4">
        <f t="shared" si="0"/>
        <v>55</v>
      </c>
      <c r="O5" s="4">
        <f t="shared" si="0"/>
        <v>60</v>
      </c>
      <c r="P5" s="4">
        <f t="shared" si="0"/>
        <v>65</v>
      </c>
      <c r="Q5" s="4">
        <f t="shared" ref="Q5" si="1">P5+Q4</f>
        <v>70</v>
      </c>
      <c r="R5" s="4">
        <f t="shared" ref="R5" si="2">Q5+R4</f>
        <v>75</v>
      </c>
      <c r="S5" s="4">
        <f t="shared" ref="S5" si="3">R5+S4</f>
        <v>80</v>
      </c>
      <c r="T5" s="4">
        <f t="shared" ref="T5" si="4">S5+T4</f>
        <v>85</v>
      </c>
      <c r="U5" s="4">
        <f t="shared" ref="U5" si="5">T5+U4</f>
        <v>90</v>
      </c>
      <c r="V5" s="2"/>
      <c r="W5" s="1" t="s">
        <v>12</v>
      </c>
      <c r="X5" s="2"/>
    </row>
    <row r="6" spans="1:24">
      <c r="A6" s="1" t="s">
        <v>13</v>
      </c>
      <c r="B6" s="2"/>
      <c r="C6" s="2"/>
      <c r="D6" s="2"/>
      <c r="E6" s="2"/>
      <c r="F6" s="2"/>
      <c r="G6" s="2"/>
      <c r="H6" s="2"/>
      <c r="I6" s="2"/>
      <c r="J6" s="2"/>
      <c r="K6" s="2"/>
      <c r="L6" s="2"/>
      <c r="M6" s="2"/>
      <c r="N6" s="2"/>
      <c r="O6" s="2"/>
      <c r="P6" s="2"/>
      <c r="Q6" s="2"/>
      <c r="R6" s="2"/>
      <c r="S6" s="2"/>
      <c r="T6" s="2"/>
      <c r="U6" s="2"/>
      <c r="V6" s="2"/>
      <c r="W6" s="2" t="s">
        <v>14</v>
      </c>
      <c r="X6" s="6">
        <f>_xlfn.XLOOKUP(X2,D10:U10,D3:U3," ",1,1)</f>
        <v>11</v>
      </c>
    </row>
    <row r="7" spans="1:24">
      <c r="A7" s="2"/>
      <c r="B7" s="2" t="s">
        <v>15</v>
      </c>
      <c r="C7" s="3">
        <f>X3</f>
        <v>20</v>
      </c>
      <c r="D7" s="3">
        <f>$C$7</f>
        <v>20</v>
      </c>
      <c r="E7" s="3">
        <f t="shared" ref="E7:U7" si="6">$C$7</f>
        <v>20</v>
      </c>
      <c r="F7" s="3">
        <f t="shared" si="6"/>
        <v>20</v>
      </c>
      <c r="G7" s="3">
        <f t="shared" si="6"/>
        <v>20</v>
      </c>
      <c r="H7" s="3">
        <f t="shared" si="6"/>
        <v>20</v>
      </c>
      <c r="I7" s="3">
        <f t="shared" si="6"/>
        <v>20</v>
      </c>
      <c r="J7" s="3">
        <f t="shared" si="6"/>
        <v>20</v>
      </c>
      <c r="K7" s="3">
        <f t="shared" si="6"/>
        <v>20</v>
      </c>
      <c r="L7" s="3">
        <f t="shared" si="6"/>
        <v>20</v>
      </c>
      <c r="M7" s="3">
        <f t="shared" si="6"/>
        <v>20</v>
      </c>
      <c r="N7" s="3">
        <f t="shared" si="6"/>
        <v>20</v>
      </c>
      <c r="O7" s="3">
        <f t="shared" si="6"/>
        <v>20</v>
      </c>
      <c r="P7" s="3">
        <f t="shared" si="6"/>
        <v>20</v>
      </c>
      <c r="Q7" s="3">
        <f t="shared" si="6"/>
        <v>20</v>
      </c>
      <c r="R7" s="3">
        <f t="shared" si="6"/>
        <v>20</v>
      </c>
      <c r="S7" s="3">
        <f t="shared" si="6"/>
        <v>20</v>
      </c>
      <c r="T7" s="3">
        <f t="shared" si="6"/>
        <v>20</v>
      </c>
      <c r="U7" s="3">
        <f t="shared" si="6"/>
        <v>20</v>
      </c>
      <c r="V7" s="3"/>
      <c r="W7" s="2" t="s">
        <v>16</v>
      </c>
      <c r="X7" s="6">
        <f>_xlfn.XLOOKUP((X2*2),D10:U10,D3:U3," ",1,1)</f>
        <v>16</v>
      </c>
    </row>
    <row r="8" spans="1:24">
      <c r="A8" s="2"/>
      <c r="B8" s="2"/>
      <c r="C8" s="2"/>
      <c r="D8" s="2"/>
      <c r="E8" s="2"/>
      <c r="F8" s="2"/>
      <c r="G8" s="2"/>
      <c r="H8" s="2"/>
      <c r="I8" s="2"/>
      <c r="J8" s="2"/>
      <c r="K8" s="2"/>
      <c r="L8" s="2"/>
      <c r="M8" s="2"/>
      <c r="N8" s="2"/>
      <c r="O8" s="2"/>
      <c r="P8" s="2"/>
      <c r="Q8" s="2"/>
      <c r="R8" s="2"/>
      <c r="S8" s="2"/>
      <c r="T8" s="2"/>
      <c r="U8" s="2"/>
      <c r="V8" s="2"/>
      <c r="W8" s="1" t="s">
        <v>17</v>
      </c>
      <c r="X8" s="6"/>
    </row>
    <row r="9" spans="1:24">
      <c r="A9" s="2"/>
      <c r="B9" s="2" t="s">
        <v>18</v>
      </c>
      <c r="C9" s="2"/>
      <c r="D9" s="3">
        <f>D5*D7</f>
        <v>100</v>
      </c>
      <c r="E9" s="3">
        <f t="shared" ref="E9:P9" si="7">E5*E7</f>
        <v>200</v>
      </c>
      <c r="F9" s="3">
        <f t="shared" si="7"/>
        <v>300</v>
      </c>
      <c r="G9" s="3">
        <f t="shared" si="7"/>
        <v>400</v>
      </c>
      <c r="H9" s="3">
        <f t="shared" si="7"/>
        <v>500</v>
      </c>
      <c r="I9" s="3">
        <f t="shared" si="7"/>
        <v>600</v>
      </c>
      <c r="J9" s="3">
        <f t="shared" si="7"/>
        <v>700</v>
      </c>
      <c r="K9" s="3">
        <f t="shared" si="7"/>
        <v>800</v>
      </c>
      <c r="L9" s="3">
        <f t="shared" si="7"/>
        <v>900</v>
      </c>
      <c r="M9" s="3">
        <f t="shared" si="7"/>
        <v>1000</v>
      </c>
      <c r="N9" s="3">
        <f t="shared" si="7"/>
        <v>1100</v>
      </c>
      <c r="O9" s="3">
        <f t="shared" si="7"/>
        <v>1200</v>
      </c>
      <c r="P9" s="3">
        <f t="shared" si="7"/>
        <v>1300</v>
      </c>
      <c r="Q9" s="3">
        <f t="shared" ref="Q9:U9" si="8">Q5*Q7</f>
        <v>1400</v>
      </c>
      <c r="R9" s="3">
        <f t="shared" si="8"/>
        <v>1500</v>
      </c>
      <c r="S9" s="3">
        <f t="shared" si="8"/>
        <v>1600</v>
      </c>
      <c r="T9" s="3">
        <f t="shared" si="8"/>
        <v>1700</v>
      </c>
      <c r="U9" s="3">
        <f t="shared" si="8"/>
        <v>1800</v>
      </c>
      <c r="V9" s="3"/>
      <c r="W9" s="2" t="s">
        <v>14</v>
      </c>
      <c r="X9" s="6">
        <f>_xlfn.XLOOKUP(X2,D15:U15,D3:U3," ",1,1)</f>
        <v>6</v>
      </c>
    </row>
    <row r="10" spans="1:24">
      <c r="A10" s="4" t="s">
        <v>10</v>
      </c>
      <c r="B10" s="4" t="s">
        <v>19</v>
      </c>
      <c r="C10" s="4"/>
      <c r="D10" s="5">
        <f>D9</f>
        <v>100</v>
      </c>
      <c r="E10" s="5">
        <f>D10+E9</f>
        <v>300</v>
      </c>
      <c r="F10" s="5">
        <f t="shared" ref="F10:P10" si="9">E10+F9</f>
        <v>600</v>
      </c>
      <c r="G10" s="5">
        <f t="shared" si="9"/>
        <v>1000</v>
      </c>
      <c r="H10" s="5">
        <f t="shared" si="9"/>
        <v>1500</v>
      </c>
      <c r="I10" s="5">
        <f t="shared" si="9"/>
        <v>2100</v>
      </c>
      <c r="J10" s="5">
        <f t="shared" si="9"/>
        <v>2800</v>
      </c>
      <c r="K10" s="5">
        <f t="shared" si="9"/>
        <v>3600</v>
      </c>
      <c r="L10" s="5">
        <f t="shared" si="9"/>
        <v>4500</v>
      </c>
      <c r="M10" s="5">
        <f t="shared" si="9"/>
        <v>5500</v>
      </c>
      <c r="N10" s="5">
        <f t="shared" si="9"/>
        <v>6600</v>
      </c>
      <c r="O10" s="5">
        <f t="shared" si="9"/>
        <v>7800</v>
      </c>
      <c r="P10" s="5">
        <f t="shared" si="9"/>
        <v>9100</v>
      </c>
      <c r="Q10" s="5">
        <f t="shared" ref="Q10" si="10">P10+Q9</f>
        <v>10500</v>
      </c>
      <c r="R10" s="5">
        <f t="shared" ref="R10" si="11">Q10+R9</f>
        <v>12000</v>
      </c>
      <c r="S10" s="5">
        <f t="shared" ref="S10" si="12">R10+S9</f>
        <v>13600</v>
      </c>
      <c r="T10" s="5">
        <f t="shared" ref="T10" si="13">S10+T9</f>
        <v>15300</v>
      </c>
      <c r="U10" s="5">
        <f t="shared" ref="U10" si="14">T10+U9</f>
        <v>17100</v>
      </c>
      <c r="V10" s="3"/>
      <c r="W10" s="2" t="s">
        <v>16</v>
      </c>
      <c r="X10" s="6">
        <f>_xlfn.XLOOKUP((X2*2),D15:U15,D3:U3," ",1,1)</f>
        <v>9</v>
      </c>
    </row>
    <row r="11" spans="1:24">
      <c r="A11" s="1" t="s">
        <v>17</v>
      </c>
      <c r="B11" s="2"/>
      <c r="C11" s="2"/>
      <c r="D11" s="2"/>
      <c r="E11" s="2"/>
      <c r="F11" s="2"/>
      <c r="G11" s="2"/>
      <c r="H11" s="2"/>
      <c r="I11" s="2"/>
      <c r="J11" s="2"/>
      <c r="K11" s="2"/>
      <c r="L11" s="2"/>
      <c r="M11" s="2"/>
      <c r="N11" s="2"/>
      <c r="O11" s="2"/>
      <c r="P11" s="2"/>
      <c r="Q11" s="2"/>
      <c r="R11" s="2"/>
      <c r="S11" s="2"/>
      <c r="T11" s="2"/>
      <c r="U11" s="2"/>
      <c r="V11" s="2"/>
      <c r="W11" s="2"/>
      <c r="X11" s="2"/>
    </row>
    <row r="12" spans="1:24">
      <c r="A12" s="2"/>
      <c r="B12" s="2" t="s">
        <v>20</v>
      </c>
      <c r="C12" s="3">
        <f>X4</f>
        <v>62</v>
      </c>
      <c r="D12" s="3">
        <f>$C$12</f>
        <v>62</v>
      </c>
      <c r="E12" s="3">
        <f t="shared" ref="E12:U12" si="15">$C$12</f>
        <v>62</v>
      </c>
      <c r="F12" s="3">
        <f t="shared" si="15"/>
        <v>62</v>
      </c>
      <c r="G12" s="3">
        <f t="shared" si="15"/>
        <v>62</v>
      </c>
      <c r="H12" s="3">
        <f t="shared" si="15"/>
        <v>62</v>
      </c>
      <c r="I12" s="3">
        <f t="shared" si="15"/>
        <v>62</v>
      </c>
      <c r="J12" s="3">
        <f t="shared" si="15"/>
        <v>62</v>
      </c>
      <c r="K12" s="3">
        <f t="shared" si="15"/>
        <v>62</v>
      </c>
      <c r="L12" s="3">
        <f t="shared" si="15"/>
        <v>62</v>
      </c>
      <c r="M12" s="3">
        <f t="shared" si="15"/>
        <v>62</v>
      </c>
      <c r="N12" s="3">
        <f t="shared" si="15"/>
        <v>62</v>
      </c>
      <c r="O12" s="3">
        <f t="shared" si="15"/>
        <v>62</v>
      </c>
      <c r="P12" s="3">
        <f t="shared" si="15"/>
        <v>62</v>
      </c>
      <c r="Q12" s="3">
        <f t="shared" si="15"/>
        <v>62</v>
      </c>
      <c r="R12" s="3">
        <f t="shared" si="15"/>
        <v>62</v>
      </c>
      <c r="S12" s="3">
        <f t="shared" si="15"/>
        <v>62</v>
      </c>
      <c r="T12" s="3">
        <f t="shared" si="15"/>
        <v>62</v>
      </c>
      <c r="U12" s="3">
        <f t="shared" si="15"/>
        <v>62</v>
      </c>
      <c r="V12" s="3"/>
      <c r="W12" s="2"/>
      <c r="X12" s="2"/>
    </row>
    <row r="13" spans="1:24">
      <c r="A13" s="2"/>
      <c r="B13" s="2"/>
      <c r="C13" s="2"/>
      <c r="D13" s="2"/>
      <c r="E13" s="2"/>
      <c r="F13" s="2"/>
      <c r="G13" s="2"/>
      <c r="H13" s="2"/>
      <c r="I13" s="2"/>
      <c r="J13" s="2"/>
      <c r="K13" s="2"/>
      <c r="L13" s="2"/>
      <c r="M13" s="2"/>
      <c r="N13" s="2"/>
      <c r="O13" s="2"/>
      <c r="P13" s="2"/>
      <c r="Q13" s="2"/>
      <c r="R13" s="2"/>
      <c r="S13" s="2"/>
      <c r="T13" s="2"/>
      <c r="U13" s="2"/>
      <c r="V13" s="2"/>
      <c r="W13" s="2"/>
      <c r="X13" s="2"/>
    </row>
    <row r="14" spans="1:24">
      <c r="A14" s="2"/>
      <c r="B14" s="2" t="s">
        <v>18</v>
      </c>
      <c r="C14" s="2"/>
      <c r="D14" s="3">
        <f>D5*D12</f>
        <v>310</v>
      </c>
      <c r="E14" s="3">
        <f t="shared" ref="E14:P14" si="16">E5*E12</f>
        <v>620</v>
      </c>
      <c r="F14" s="3">
        <f t="shared" si="16"/>
        <v>930</v>
      </c>
      <c r="G14" s="3">
        <f t="shared" si="16"/>
        <v>1240</v>
      </c>
      <c r="H14" s="3">
        <f t="shared" si="16"/>
        <v>1550</v>
      </c>
      <c r="I14" s="3">
        <f t="shared" si="16"/>
        <v>1860</v>
      </c>
      <c r="J14" s="3">
        <f t="shared" si="16"/>
        <v>2170</v>
      </c>
      <c r="K14" s="3">
        <f t="shared" si="16"/>
        <v>2480</v>
      </c>
      <c r="L14" s="3">
        <f t="shared" si="16"/>
        <v>2790</v>
      </c>
      <c r="M14" s="3">
        <f t="shared" si="16"/>
        <v>3100</v>
      </c>
      <c r="N14" s="3">
        <f t="shared" si="16"/>
        <v>3410</v>
      </c>
      <c r="O14" s="3">
        <f t="shared" si="16"/>
        <v>3720</v>
      </c>
      <c r="P14" s="3">
        <f t="shared" si="16"/>
        <v>4030</v>
      </c>
      <c r="Q14" s="3">
        <f t="shared" ref="Q14:U14" si="17">Q5*Q12</f>
        <v>4340</v>
      </c>
      <c r="R14" s="3">
        <f t="shared" si="17"/>
        <v>4650</v>
      </c>
      <c r="S14" s="3">
        <f t="shared" si="17"/>
        <v>4960</v>
      </c>
      <c r="T14" s="3">
        <f t="shared" si="17"/>
        <v>5270</v>
      </c>
      <c r="U14" s="3">
        <f t="shared" si="17"/>
        <v>5580</v>
      </c>
      <c r="V14" s="3"/>
      <c r="W14" s="2"/>
      <c r="X14" s="2"/>
    </row>
    <row r="15" spans="1:24">
      <c r="A15" s="4" t="s">
        <v>10</v>
      </c>
      <c r="B15" s="4" t="s">
        <v>19</v>
      </c>
      <c r="C15" s="4"/>
      <c r="D15" s="5">
        <f>D14</f>
        <v>310</v>
      </c>
      <c r="E15" s="5">
        <f>D15+E14</f>
        <v>930</v>
      </c>
      <c r="F15" s="5">
        <f t="shared" ref="F15:P15" si="18">E15+F14</f>
        <v>1860</v>
      </c>
      <c r="G15" s="5">
        <f t="shared" si="18"/>
        <v>3100</v>
      </c>
      <c r="H15" s="5">
        <f t="shared" si="18"/>
        <v>4650</v>
      </c>
      <c r="I15" s="5">
        <f t="shared" si="18"/>
        <v>6510</v>
      </c>
      <c r="J15" s="5">
        <f t="shared" si="18"/>
        <v>8680</v>
      </c>
      <c r="K15" s="5">
        <f t="shared" si="18"/>
        <v>11160</v>
      </c>
      <c r="L15" s="5">
        <f t="shared" si="18"/>
        <v>13950</v>
      </c>
      <c r="M15" s="5">
        <f t="shared" si="18"/>
        <v>17050</v>
      </c>
      <c r="N15" s="5">
        <f t="shared" si="18"/>
        <v>20460</v>
      </c>
      <c r="O15" s="5">
        <f t="shared" si="18"/>
        <v>24180</v>
      </c>
      <c r="P15" s="5">
        <f t="shared" si="18"/>
        <v>28210</v>
      </c>
      <c r="Q15" s="5">
        <f t="shared" ref="Q15" si="19">P15+Q14</f>
        <v>32550</v>
      </c>
      <c r="R15" s="5">
        <f t="shared" ref="R15" si="20">Q15+R14</f>
        <v>37200</v>
      </c>
      <c r="S15" s="5">
        <f t="shared" ref="S15" si="21">R15+S14</f>
        <v>42160</v>
      </c>
      <c r="T15" s="5">
        <f t="shared" ref="T15" si="22">S15+T14</f>
        <v>47430</v>
      </c>
      <c r="U15" s="5">
        <f t="shared" ref="U15" si="23">T15+U14</f>
        <v>53010</v>
      </c>
      <c r="V15" s="3"/>
      <c r="W15" s="2"/>
      <c r="X15" s="2"/>
    </row>
    <row r="16" spans="1:24">
      <c r="A16" s="2"/>
      <c r="B16" s="2"/>
      <c r="C16" s="2"/>
      <c r="D16" s="2"/>
      <c r="E16" s="2"/>
      <c r="F16" s="2"/>
      <c r="G16" s="2"/>
      <c r="H16" s="2"/>
      <c r="I16" s="2"/>
      <c r="J16" s="2"/>
      <c r="K16" s="2"/>
      <c r="L16" s="2"/>
      <c r="M16" s="2"/>
      <c r="N16" s="2"/>
      <c r="O16" s="2"/>
      <c r="P16" s="2"/>
      <c r="Q16" s="2"/>
      <c r="R16" s="2"/>
      <c r="S16" s="2"/>
      <c r="T16" s="2"/>
      <c r="U16" s="2"/>
      <c r="V16" s="2"/>
      <c r="W16" s="2"/>
      <c r="X16" s="2"/>
    </row>
  </sheetData>
  <conditionalFormatting sqref="D10:U10">
    <cfRule type="cellIs" dxfId="3" priority="2" operator="greaterThan">
      <formula>$X$2</formula>
    </cfRule>
  </conditionalFormatting>
  <conditionalFormatting sqref="D15:U15">
    <cfRule type="cellIs" dxfId="2" priority="1" operator="greaterThan">
      <formula>$X$2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9D87-1C83-4D8D-8561-0FEF0136AA3B}">
  <dimension ref="A1:AG54"/>
  <sheetViews>
    <sheetView tabSelected="1" workbookViewId="0">
      <selection activeCell="D23" sqref="D23"/>
    </sheetView>
  </sheetViews>
  <sheetFormatPr defaultRowHeight="14.45"/>
  <cols>
    <col min="1" max="1" width="64.28515625" customWidth="1"/>
    <col min="2" max="2" width="21.28515625" customWidth="1"/>
    <col min="3" max="3" width="6.42578125" bestFit="1" customWidth="1"/>
    <col min="4" max="21" width="13.85546875" customWidth="1"/>
    <col min="22" max="24" width="10.7109375" customWidth="1"/>
    <col min="26" max="26" width="25" customWidth="1"/>
    <col min="27" max="27" width="18.85546875" customWidth="1"/>
    <col min="28" max="30" width="33.28515625" customWidth="1"/>
  </cols>
  <sheetData>
    <row r="1" spans="1:27" ht="29.25" customHeight="1">
      <c r="A1" s="9" t="s">
        <v>22</v>
      </c>
      <c r="B1" s="9"/>
      <c r="C1" s="9"/>
      <c r="D1" s="9"/>
      <c r="E1" s="9"/>
      <c r="F1" s="9"/>
      <c r="G1" s="9"/>
      <c r="H1" s="9"/>
      <c r="I1" s="9"/>
      <c r="J1" s="9"/>
      <c r="K1" s="9"/>
      <c r="L1" s="9"/>
      <c r="M1" s="9"/>
      <c r="N1" s="9"/>
      <c r="O1" s="9"/>
      <c r="P1" s="9"/>
      <c r="Q1" s="9"/>
      <c r="R1" s="9"/>
      <c r="S1" s="9"/>
      <c r="T1" s="9"/>
      <c r="U1" s="9"/>
      <c r="V1" s="21"/>
      <c r="W1" s="21"/>
      <c r="X1" s="21"/>
    </row>
    <row r="2" spans="1:27" s="12" customFormat="1" ht="45.75" customHeight="1">
      <c r="A2" s="139" t="s">
        <v>23</v>
      </c>
      <c r="B2" s="139"/>
      <c r="C2" s="139"/>
      <c r="D2" s="139"/>
      <c r="E2" s="139"/>
      <c r="F2" s="139"/>
      <c r="G2" s="139"/>
      <c r="H2" s="139"/>
      <c r="I2" s="139"/>
      <c r="J2" s="139"/>
      <c r="K2" s="15"/>
      <c r="L2" s="15"/>
      <c r="M2" s="15"/>
      <c r="N2" s="15"/>
      <c r="O2" s="15"/>
      <c r="P2" s="15"/>
      <c r="Q2" s="15"/>
      <c r="R2" s="15"/>
      <c r="S2" s="15"/>
      <c r="T2" s="15"/>
      <c r="U2" s="15"/>
      <c r="V2" s="22"/>
      <c r="W2" s="22"/>
      <c r="X2" s="22"/>
    </row>
    <row r="3" spans="1:27" s="12" customFormat="1" ht="15.6">
      <c r="A3" s="15"/>
      <c r="B3" s="15"/>
      <c r="C3" s="15"/>
      <c r="D3" s="15"/>
      <c r="E3" s="15"/>
      <c r="F3" s="15"/>
      <c r="G3" s="15"/>
      <c r="H3" s="15"/>
      <c r="I3" s="15"/>
      <c r="J3" s="15"/>
      <c r="K3" s="15"/>
      <c r="L3" s="15"/>
      <c r="M3" s="15"/>
      <c r="N3" s="15"/>
      <c r="O3" s="15"/>
      <c r="P3" s="15"/>
      <c r="Q3" s="15"/>
      <c r="R3" s="15"/>
      <c r="S3" s="15"/>
      <c r="T3" s="15"/>
      <c r="U3" s="15"/>
      <c r="V3" s="22"/>
      <c r="W3" s="22"/>
      <c r="X3" s="22"/>
    </row>
    <row r="4" spans="1:27" s="12" customFormat="1" ht="49.5" customHeight="1">
      <c r="A4" s="140" t="s">
        <v>24</v>
      </c>
      <c r="B4" s="140"/>
      <c r="C4" s="140"/>
      <c r="D4" s="140"/>
      <c r="E4" s="140"/>
      <c r="F4" s="140"/>
      <c r="G4" s="140"/>
      <c r="H4" s="140"/>
      <c r="I4" s="140"/>
      <c r="J4" s="140"/>
      <c r="K4" s="49"/>
      <c r="L4" s="49"/>
      <c r="M4" s="49"/>
      <c r="N4" s="49"/>
      <c r="O4" s="49"/>
      <c r="P4" s="49"/>
      <c r="Q4" s="49"/>
      <c r="R4" s="49"/>
      <c r="S4" s="49"/>
      <c r="T4" s="49"/>
      <c r="U4" s="49"/>
      <c r="V4" s="23"/>
      <c r="W4" s="23"/>
      <c r="X4" s="23"/>
    </row>
    <row r="5" spans="1:27" s="12" customFormat="1" ht="17.25" customHeight="1">
      <c r="A5" s="49"/>
      <c r="B5" s="49"/>
      <c r="C5" s="49"/>
      <c r="D5" s="49"/>
      <c r="E5" s="49"/>
      <c r="F5" s="49"/>
      <c r="G5" s="49"/>
      <c r="H5" s="49"/>
      <c r="I5" s="49"/>
      <c r="J5" s="49"/>
      <c r="K5" s="49"/>
      <c r="L5" s="49"/>
      <c r="M5" s="49"/>
      <c r="N5" s="49"/>
      <c r="O5" s="49"/>
      <c r="P5" s="49"/>
      <c r="Q5" s="49"/>
      <c r="R5" s="49"/>
      <c r="S5" s="49"/>
      <c r="T5" s="49"/>
      <c r="U5" s="49"/>
      <c r="V5" s="23"/>
      <c r="W5" s="23"/>
      <c r="X5" s="23"/>
    </row>
    <row r="6" spans="1:27" s="18" customFormat="1" ht="15.75" customHeight="1">
      <c r="A6" s="143" t="s">
        <v>25</v>
      </c>
      <c r="B6" s="143"/>
      <c r="C6" s="143"/>
      <c r="D6" s="143"/>
      <c r="E6" s="143"/>
      <c r="F6" s="46"/>
      <c r="G6" s="46"/>
      <c r="H6" s="46"/>
      <c r="I6" s="46"/>
      <c r="J6" s="46"/>
      <c r="K6" s="46"/>
      <c r="L6" s="46"/>
      <c r="M6" s="46"/>
      <c r="N6" s="46"/>
      <c r="O6" s="46"/>
      <c r="P6" s="46"/>
      <c r="Q6" s="46"/>
      <c r="R6" s="46"/>
      <c r="S6" s="46"/>
      <c r="T6" s="46"/>
      <c r="U6" s="46"/>
      <c r="V6" s="47"/>
      <c r="W6" s="47"/>
      <c r="X6" s="47"/>
    </row>
    <row r="7" spans="1:27" s="18" customFormat="1" ht="15.75" customHeight="1">
      <c r="A7" s="46"/>
      <c r="B7" s="46"/>
      <c r="C7" s="46"/>
      <c r="D7" s="46"/>
      <c r="E7" s="46"/>
      <c r="F7" s="46"/>
      <c r="G7" s="46"/>
      <c r="H7" s="46"/>
      <c r="I7" s="46"/>
      <c r="J7" s="46"/>
      <c r="K7" s="46"/>
      <c r="L7" s="46"/>
      <c r="M7" s="46"/>
      <c r="N7" s="46"/>
      <c r="O7" s="46"/>
      <c r="P7" s="46"/>
      <c r="Q7" s="46"/>
      <c r="R7" s="46"/>
      <c r="S7" s="46"/>
      <c r="T7" s="46"/>
      <c r="U7" s="46"/>
      <c r="V7" s="47"/>
      <c r="W7" s="47"/>
      <c r="X7" s="47"/>
    </row>
    <row r="8" spans="1:27" s="18" customFormat="1" ht="15.75" customHeight="1">
      <c r="A8" s="16" t="s">
        <v>26</v>
      </c>
      <c r="B8" s="144" t="s">
        <v>27</v>
      </c>
      <c r="C8" s="144"/>
      <c r="D8" s="144"/>
      <c r="E8" s="144"/>
      <c r="F8" s="17"/>
      <c r="G8" s="17"/>
      <c r="H8" s="17"/>
      <c r="I8" s="17"/>
      <c r="J8" s="17"/>
      <c r="K8" s="17"/>
      <c r="L8" s="17"/>
      <c r="M8" s="17"/>
      <c r="N8" s="17"/>
      <c r="O8" s="17"/>
      <c r="P8" s="17"/>
      <c r="Q8" s="17"/>
      <c r="R8" s="17"/>
      <c r="S8" s="17"/>
      <c r="T8" s="17"/>
      <c r="U8" s="17"/>
      <c r="V8" s="24"/>
      <c r="W8" s="24"/>
    </row>
    <row r="9" spans="1:27" s="18" customFormat="1" ht="15.75" customHeight="1">
      <c r="A9" s="141" t="s">
        <v>28</v>
      </c>
      <c r="B9" s="141"/>
      <c r="C9" s="141"/>
      <c r="D9" s="141"/>
      <c r="E9" s="141"/>
      <c r="F9" s="141"/>
      <c r="G9" s="141"/>
      <c r="H9" s="141"/>
      <c r="I9" s="141"/>
      <c r="J9" s="141"/>
      <c r="K9" s="48"/>
      <c r="L9" s="48"/>
      <c r="M9" s="48"/>
      <c r="N9" s="48"/>
      <c r="O9" s="48"/>
      <c r="P9" s="48"/>
      <c r="Q9" s="48"/>
      <c r="R9" s="48"/>
      <c r="S9" s="48"/>
      <c r="T9" s="48"/>
      <c r="U9" s="48"/>
      <c r="V9" s="24"/>
      <c r="W9" s="24"/>
      <c r="X9" s="24"/>
    </row>
    <row r="10" spans="1:27" s="18" customFormat="1" ht="15.75" customHeight="1">
      <c r="A10" s="16"/>
      <c r="B10" s="16"/>
      <c r="C10" s="16"/>
      <c r="D10" s="16"/>
      <c r="E10" s="16"/>
      <c r="F10" s="17"/>
      <c r="G10" s="17"/>
      <c r="H10" s="17"/>
      <c r="I10" s="17"/>
      <c r="J10" s="17"/>
      <c r="K10" s="17"/>
      <c r="L10" s="17"/>
      <c r="M10" s="17"/>
      <c r="N10" s="17"/>
      <c r="O10" s="17"/>
      <c r="P10" s="17"/>
      <c r="Q10" s="17"/>
      <c r="R10" s="17"/>
      <c r="S10" s="17"/>
      <c r="T10" s="17"/>
      <c r="U10" s="17"/>
      <c r="V10" s="24"/>
      <c r="W10" s="24"/>
      <c r="X10" s="24"/>
    </row>
    <row r="11" spans="1:27" s="18" customFormat="1" ht="15.75" customHeight="1">
      <c r="A11" s="62" t="s">
        <v>29</v>
      </c>
      <c r="B11" s="16"/>
      <c r="C11" s="16"/>
      <c r="D11" s="16"/>
      <c r="E11" s="16"/>
      <c r="F11" s="17"/>
      <c r="G11" s="17"/>
      <c r="H11" s="17"/>
      <c r="I11" s="17"/>
      <c r="J11" s="17"/>
      <c r="K11" s="17"/>
      <c r="L11" s="17"/>
      <c r="M11" s="17"/>
      <c r="N11" s="17"/>
      <c r="O11" s="17"/>
      <c r="P11" s="17"/>
      <c r="Q11" s="17"/>
      <c r="R11" s="17"/>
      <c r="S11" s="17"/>
      <c r="T11" s="17"/>
      <c r="U11" s="17"/>
      <c r="V11" s="24"/>
      <c r="W11" s="24"/>
      <c r="X11" s="24"/>
    </row>
    <row r="12" spans="1:27" s="18" customFormat="1" ht="15.75" customHeight="1">
      <c r="A12" s="16"/>
      <c r="B12" s="16"/>
      <c r="C12" s="16"/>
      <c r="D12" s="16"/>
      <c r="E12" s="16"/>
      <c r="F12" s="17"/>
      <c r="G12" s="17"/>
      <c r="H12" s="17"/>
      <c r="I12" s="17"/>
      <c r="J12" s="17"/>
      <c r="K12" s="17"/>
      <c r="L12" s="17"/>
      <c r="M12" s="17"/>
      <c r="N12" s="17"/>
      <c r="O12" s="17"/>
      <c r="P12" s="17"/>
      <c r="Q12" s="17"/>
      <c r="R12" s="17"/>
      <c r="S12" s="17"/>
      <c r="T12" s="17"/>
      <c r="U12" s="17"/>
      <c r="V12" s="24"/>
      <c r="W12" s="24"/>
      <c r="X12" s="24"/>
    </row>
    <row r="13" spans="1:27" s="12" customFormat="1" ht="15.75" customHeight="1">
      <c r="A13" s="142" t="s">
        <v>30</v>
      </c>
      <c r="B13" s="142"/>
      <c r="C13" s="142"/>
      <c r="D13" s="142"/>
      <c r="E13" s="142"/>
      <c r="F13" s="142"/>
      <c r="G13" s="142"/>
      <c r="H13" s="142"/>
      <c r="I13" s="142"/>
      <c r="J13" s="142"/>
      <c r="K13" s="50"/>
      <c r="L13" s="50"/>
      <c r="M13" s="50"/>
      <c r="N13" s="50"/>
      <c r="O13" s="50"/>
      <c r="P13" s="50"/>
      <c r="Q13" s="50"/>
      <c r="R13" s="50"/>
      <c r="S13" s="50"/>
      <c r="T13" s="50"/>
      <c r="U13" s="50"/>
      <c r="V13" s="25"/>
      <c r="W13" s="25"/>
      <c r="X13" s="25"/>
    </row>
    <row r="14" spans="1:27" s="12" customFormat="1" ht="15.6">
      <c r="A14" s="50"/>
      <c r="B14" s="50"/>
      <c r="C14" s="50"/>
      <c r="D14" s="50"/>
      <c r="E14" s="50"/>
      <c r="F14" s="50"/>
      <c r="G14" s="50"/>
      <c r="H14" s="50"/>
      <c r="I14" s="50"/>
      <c r="J14" s="50"/>
      <c r="K14" s="50"/>
      <c r="L14" s="50"/>
      <c r="M14" s="50"/>
      <c r="N14" s="50"/>
      <c r="O14" s="50"/>
      <c r="P14" s="50"/>
      <c r="Q14" s="50"/>
      <c r="R14" s="50"/>
      <c r="S14" s="50"/>
      <c r="T14" s="50"/>
      <c r="U14" s="50"/>
      <c r="V14" s="25"/>
      <c r="W14" s="25"/>
      <c r="X14" s="25"/>
    </row>
    <row r="15" spans="1:27" s="12" customFormat="1" ht="32.25" customHeight="1">
      <c r="A15" s="124" t="s">
        <v>31</v>
      </c>
      <c r="B15" s="124"/>
      <c r="C15" s="124"/>
      <c r="D15" s="124"/>
      <c r="E15" s="124"/>
      <c r="F15" s="124"/>
      <c r="G15" s="124"/>
      <c r="H15" s="124"/>
      <c r="I15" s="124"/>
      <c r="J15" s="124"/>
      <c r="K15" s="16"/>
      <c r="L15" s="16"/>
      <c r="M15" s="16"/>
      <c r="N15" s="16"/>
      <c r="O15" s="16"/>
      <c r="P15" s="16"/>
      <c r="Q15" s="16"/>
      <c r="R15" s="16"/>
      <c r="S15" s="16"/>
      <c r="T15" s="16"/>
      <c r="U15" s="16"/>
      <c r="V15" s="25"/>
      <c r="W15" s="25"/>
      <c r="X15" s="25"/>
      <c r="Z15" s="19"/>
      <c r="AA15" s="20"/>
    </row>
    <row r="16" spans="1:27" s="12" customFormat="1" ht="15.6">
      <c r="A16" s="16"/>
      <c r="B16" s="16"/>
      <c r="C16" s="16"/>
      <c r="D16" s="16"/>
      <c r="E16" s="16"/>
      <c r="F16" s="16"/>
      <c r="G16" s="16"/>
      <c r="H16" s="16"/>
      <c r="I16" s="16"/>
      <c r="J16" s="16"/>
      <c r="K16" s="16"/>
      <c r="L16" s="16"/>
      <c r="M16" s="16"/>
      <c r="N16" s="16"/>
      <c r="O16" s="16"/>
      <c r="P16" s="16"/>
      <c r="Q16" s="16"/>
      <c r="R16" s="16"/>
      <c r="S16" s="16"/>
      <c r="T16" s="16"/>
      <c r="U16" s="16"/>
      <c r="V16" s="25"/>
      <c r="W16" s="25"/>
      <c r="X16" s="25"/>
      <c r="Z16" s="19"/>
      <c r="AA16" s="20"/>
    </row>
    <row r="17" spans="1:33" s="12" customFormat="1" ht="15.6">
      <c r="A17" s="125" t="s">
        <v>32</v>
      </c>
      <c r="B17" s="126"/>
      <c r="C17" s="126"/>
      <c r="D17" s="126"/>
      <c r="E17" s="126"/>
      <c r="F17" s="126"/>
      <c r="G17" s="126"/>
      <c r="H17" s="126"/>
      <c r="I17" s="126"/>
      <c r="J17" s="126"/>
      <c r="K17" s="26"/>
      <c r="L17" s="26"/>
      <c r="M17" s="26"/>
      <c r="N17" s="26"/>
      <c r="O17" s="26"/>
      <c r="P17" s="26"/>
      <c r="Q17" s="26"/>
      <c r="R17" s="26"/>
      <c r="S17" s="26"/>
      <c r="T17" s="26"/>
      <c r="U17" s="26"/>
      <c r="V17" s="27"/>
      <c r="W17" s="27"/>
      <c r="X17" s="27"/>
    </row>
    <row r="18" spans="1:33">
      <c r="A18" s="8"/>
      <c r="B18" s="8"/>
      <c r="C18" s="8"/>
      <c r="D18" s="8"/>
      <c r="E18" s="8"/>
      <c r="F18" s="8"/>
      <c r="G18" s="8"/>
      <c r="H18" s="8"/>
      <c r="I18" s="8"/>
      <c r="J18" s="8"/>
      <c r="K18" s="8"/>
      <c r="L18" s="8"/>
      <c r="M18" s="8"/>
      <c r="N18" s="8"/>
      <c r="O18" s="8"/>
      <c r="P18" s="8"/>
      <c r="Q18" s="8"/>
      <c r="R18" s="8"/>
      <c r="S18" s="8"/>
      <c r="T18" s="8"/>
      <c r="U18" s="8"/>
      <c r="V18" s="8"/>
      <c r="W18" s="8"/>
      <c r="X18" s="8"/>
    </row>
    <row r="19" spans="1:33" ht="15" customHeight="1">
      <c r="A19" s="123" t="s">
        <v>33</v>
      </c>
      <c r="B19" s="123"/>
      <c r="C19" s="38"/>
      <c r="I19" s="31"/>
      <c r="R19" s="8"/>
      <c r="T19" s="33"/>
      <c r="U19" s="37"/>
    </row>
    <row r="20" spans="1:33" ht="15.75" customHeight="1">
      <c r="A20" s="41" t="s">
        <v>34</v>
      </c>
      <c r="B20" s="42" t="str">
        <f>_xlfn.XLOOKUP(B8,A43:A50,B43:B50, "select service in B6")</f>
        <v>select service in B6</v>
      </c>
      <c r="C20" s="8"/>
      <c r="I20" s="31"/>
      <c r="R20" s="8"/>
      <c r="T20" s="33"/>
      <c r="U20" s="37"/>
    </row>
    <row r="21" spans="1:33" ht="15.75" customHeight="1">
      <c r="A21" s="41" t="s">
        <v>35</v>
      </c>
      <c r="B21" s="42"/>
      <c r="C21" s="8"/>
      <c r="I21" s="31"/>
      <c r="R21" s="8"/>
      <c r="T21" s="33"/>
      <c r="U21" s="37"/>
    </row>
    <row r="22" spans="1:33" ht="15.75" customHeight="1">
      <c r="A22" s="121" t="s">
        <v>36</v>
      </c>
      <c r="B22" s="122">
        <f>SUM($B$20:$B$21)</f>
        <v>0</v>
      </c>
      <c r="C22" s="8"/>
      <c r="I22" s="31"/>
      <c r="R22" s="8"/>
      <c r="T22" s="33"/>
      <c r="U22" s="37"/>
    </row>
    <row r="23" spans="1:33" ht="15.75" customHeight="1">
      <c r="A23" s="41" t="s">
        <v>37</v>
      </c>
      <c r="B23" s="40"/>
      <c r="C23" s="8"/>
      <c r="I23" s="31"/>
      <c r="R23" s="8"/>
      <c r="T23" s="33"/>
      <c r="U23" s="37"/>
    </row>
    <row r="24" spans="1:33" ht="15.75" customHeight="1">
      <c r="A24" s="41" t="s">
        <v>38</v>
      </c>
      <c r="B24" s="64"/>
      <c r="C24" s="8"/>
      <c r="I24" s="31"/>
      <c r="J24" s="31"/>
      <c r="K24" s="31"/>
      <c r="L24" s="31"/>
      <c r="M24" s="31"/>
      <c r="N24" s="31"/>
      <c r="O24" s="31"/>
      <c r="P24" s="8"/>
      <c r="Q24" s="8"/>
      <c r="R24" s="8"/>
      <c r="T24" s="33"/>
      <c r="U24" s="37"/>
    </row>
    <row r="25" spans="1:33" ht="15.75" customHeight="1">
      <c r="A25" s="41" t="s">
        <v>39</v>
      </c>
      <c r="B25" s="43"/>
      <c r="C25" s="8"/>
      <c r="I25" s="31"/>
      <c r="J25" s="31"/>
      <c r="K25" s="31"/>
      <c r="L25" s="31"/>
      <c r="M25" s="31"/>
      <c r="N25" s="31"/>
      <c r="O25" s="31"/>
      <c r="P25" s="8"/>
      <c r="Q25" s="8"/>
      <c r="R25" s="8"/>
      <c r="T25" s="33"/>
      <c r="U25" s="37"/>
    </row>
    <row r="26" spans="1:33" ht="15.75" customHeight="1">
      <c r="A26" s="12"/>
      <c r="B26" s="12"/>
      <c r="C26" s="8"/>
      <c r="D26" s="18"/>
      <c r="E26" s="20"/>
      <c r="F26" s="29"/>
      <c r="G26" s="31"/>
      <c r="H26" s="31"/>
      <c r="I26" s="31"/>
      <c r="J26" s="31"/>
      <c r="K26" s="31"/>
      <c r="L26" s="31"/>
      <c r="M26" s="31"/>
      <c r="N26" s="31"/>
      <c r="O26" s="31"/>
      <c r="P26" s="8"/>
      <c r="Q26" s="8"/>
      <c r="R26" s="8"/>
      <c r="T26" s="33"/>
      <c r="U26" s="37"/>
    </row>
    <row r="27" spans="1:33">
      <c r="A27" s="131" t="s">
        <v>40</v>
      </c>
      <c r="B27" s="132"/>
      <c r="C27" s="132"/>
      <c r="D27" s="132"/>
      <c r="E27" s="132"/>
      <c r="F27" s="132"/>
      <c r="G27" s="132"/>
      <c r="H27" s="132"/>
      <c r="I27" s="132"/>
      <c r="J27" s="132"/>
      <c r="K27" s="132"/>
      <c r="L27" s="132"/>
      <c r="M27" s="132"/>
      <c r="N27" s="132"/>
      <c r="O27" s="132"/>
      <c r="P27" s="132"/>
      <c r="Q27" s="132"/>
      <c r="R27" s="132"/>
      <c r="S27" s="132"/>
      <c r="T27" s="132"/>
      <c r="U27" s="133"/>
      <c r="V27" s="2"/>
    </row>
    <row r="28" spans="1:33">
      <c r="A28" s="134"/>
      <c r="B28" s="135"/>
      <c r="C28" s="135"/>
      <c r="D28" s="135"/>
      <c r="E28" s="135"/>
      <c r="F28" s="135"/>
      <c r="G28" s="135"/>
      <c r="H28" s="135"/>
      <c r="I28" s="135"/>
      <c r="J28" s="135"/>
      <c r="K28" s="135"/>
      <c r="L28" s="135"/>
      <c r="M28" s="135"/>
      <c r="N28" s="135"/>
      <c r="O28" s="135"/>
      <c r="P28" s="135"/>
      <c r="Q28" s="135"/>
      <c r="R28" s="135"/>
      <c r="S28" s="135"/>
      <c r="T28" s="135"/>
      <c r="U28" s="136"/>
      <c r="V28" s="2"/>
      <c r="Y28" s="7"/>
    </row>
    <row r="29" spans="1:33" s="12" customFormat="1" ht="15.6">
      <c r="A29" s="137" t="s">
        <v>6</v>
      </c>
      <c r="B29" s="138"/>
      <c r="C29" s="13"/>
      <c r="D29" s="13">
        <v>1</v>
      </c>
      <c r="E29" s="13">
        <v>2</v>
      </c>
      <c r="F29" s="13">
        <v>3</v>
      </c>
      <c r="G29" s="13">
        <v>4</v>
      </c>
      <c r="H29" s="13">
        <v>5</v>
      </c>
      <c r="I29" s="13">
        <v>6</v>
      </c>
      <c r="J29" s="13">
        <v>7</v>
      </c>
      <c r="K29" s="13">
        <v>8</v>
      </c>
      <c r="L29" s="13">
        <v>9</v>
      </c>
      <c r="M29" s="13">
        <v>10</v>
      </c>
      <c r="N29" s="13">
        <v>11</v>
      </c>
      <c r="O29" s="13">
        <v>12</v>
      </c>
      <c r="P29" s="13">
        <v>13</v>
      </c>
      <c r="Q29" s="13">
        <v>14</v>
      </c>
      <c r="R29" s="13">
        <v>15</v>
      </c>
      <c r="S29" s="13">
        <v>16</v>
      </c>
      <c r="T29" s="13">
        <v>17</v>
      </c>
      <c r="U29" s="13">
        <v>18</v>
      </c>
      <c r="V29" s="52"/>
      <c r="Y29" s="53"/>
    </row>
    <row r="30" spans="1:33" s="12" customFormat="1" ht="15.6">
      <c r="A30" s="127" t="s">
        <v>41</v>
      </c>
      <c r="B30" s="128"/>
      <c r="C30" s="11"/>
      <c r="D30" s="54">
        <f t="shared" ref="D30:U30" si="0">$B$23</f>
        <v>0</v>
      </c>
      <c r="E30" s="54">
        <f t="shared" si="0"/>
        <v>0</v>
      </c>
      <c r="F30" s="54">
        <f t="shared" si="0"/>
        <v>0</v>
      </c>
      <c r="G30" s="54">
        <f t="shared" si="0"/>
        <v>0</v>
      </c>
      <c r="H30" s="54">
        <f t="shared" si="0"/>
        <v>0</v>
      </c>
      <c r="I30" s="54">
        <f t="shared" si="0"/>
        <v>0</v>
      </c>
      <c r="J30" s="54">
        <f t="shared" si="0"/>
        <v>0</v>
      </c>
      <c r="K30" s="54">
        <f t="shared" si="0"/>
        <v>0</v>
      </c>
      <c r="L30" s="54">
        <f t="shared" si="0"/>
        <v>0</v>
      </c>
      <c r="M30" s="54">
        <f t="shared" si="0"/>
        <v>0</v>
      </c>
      <c r="N30" s="54">
        <f t="shared" si="0"/>
        <v>0</v>
      </c>
      <c r="O30" s="54">
        <f t="shared" si="0"/>
        <v>0</v>
      </c>
      <c r="P30" s="54">
        <f t="shared" si="0"/>
        <v>0</v>
      </c>
      <c r="Q30" s="54">
        <f t="shared" si="0"/>
        <v>0</v>
      </c>
      <c r="R30" s="54">
        <f t="shared" si="0"/>
        <v>0</v>
      </c>
      <c r="S30" s="54">
        <f t="shared" si="0"/>
        <v>0</v>
      </c>
      <c r="T30" s="54">
        <f t="shared" si="0"/>
        <v>0</v>
      </c>
      <c r="U30" s="54">
        <f t="shared" si="0"/>
        <v>0</v>
      </c>
      <c r="V30" s="10"/>
      <c r="Y30" s="53"/>
    </row>
    <row r="31" spans="1:33" s="12" customFormat="1" ht="15.6">
      <c r="A31" s="146" t="s">
        <v>42</v>
      </c>
      <c r="B31" s="138"/>
      <c r="C31" s="55"/>
      <c r="D31" s="54">
        <f>$D$30</f>
        <v>0</v>
      </c>
      <c r="E31" s="54">
        <f t="shared" ref="E31:U31" si="1">ROUND(D31*(1-$B$25)+E30,0)</f>
        <v>0</v>
      </c>
      <c r="F31" s="54">
        <f t="shared" si="1"/>
        <v>0</v>
      </c>
      <c r="G31" s="54">
        <f t="shared" si="1"/>
        <v>0</v>
      </c>
      <c r="H31" s="54">
        <f t="shared" si="1"/>
        <v>0</v>
      </c>
      <c r="I31" s="54">
        <f t="shared" si="1"/>
        <v>0</v>
      </c>
      <c r="J31" s="54">
        <f t="shared" si="1"/>
        <v>0</v>
      </c>
      <c r="K31" s="54">
        <f t="shared" si="1"/>
        <v>0</v>
      </c>
      <c r="L31" s="54">
        <f t="shared" si="1"/>
        <v>0</v>
      </c>
      <c r="M31" s="54">
        <f t="shared" si="1"/>
        <v>0</v>
      </c>
      <c r="N31" s="54">
        <f t="shared" si="1"/>
        <v>0</v>
      </c>
      <c r="O31" s="54">
        <f t="shared" si="1"/>
        <v>0</v>
      </c>
      <c r="P31" s="54">
        <f t="shared" si="1"/>
        <v>0</v>
      </c>
      <c r="Q31" s="54">
        <f t="shared" si="1"/>
        <v>0</v>
      </c>
      <c r="R31" s="54">
        <f t="shared" si="1"/>
        <v>0</v>
      </c>
      <c r="S31" s="54">
        <f t="shared" si="1"/>
        <v>0</v>
      </c>
      <c r="T31" s="54">
        <f t="shared" si="1"/>
        <v>0</v>
      </c>
      <c r="U31" s="54">
        <f t="shared" si="1"/>
        <v>0</v>
      </c>
      <c r="V31" s="10"/>
      <c r="Y31" s="53"/>
    </row>
    <row r="32" spans="1:33" s="12" customFormat="1" ht="15.6">
      <c r="A32" s="145" t="s">
        <v>43</v>
      </c>
      <c r="B32" s="128"/>
      <c r="C32" s="11"/>
      <c r="D32" s="11">
        <f>D30</f>
        <v>0</v>
      </c>
      <c r="E32" s="11">
        <f t="shared" ref="E32:U32" si="2">D32+E30</f>
        <v>0</v>
      </c>
      <c r="F32" s="11">
        <f t="shared" si="2"/>
        <v>0</v>
      </c>
      <c r="G32" s="11">
        <f t="shared" si="2"/>
        <v>0</v>
      </c>
      <c r="H32" s="11">
        <f t="shared" si="2"/>
        <v>0</v>
      </c>
      <c r="I32" s="11">
        <f t="shared" si="2"/>
        <v>0</v>
      </c>
      <c r="J32" s="11">
        <f t="shared" si="2"/>
        <v>0</v>
      </c>
      <c r="K32" s="11">
        <f t="shared" si="2"/>
        <v>0</v>
      </c>
      <c r="L32" s="11">
        <f t="shared" si="2"/>
        <v>0</v>
      </c>
      <c r="M32" s="11">
        <f t="shared" si="2"/>
        <v>0</v>
      </c>
      <c r="N32" s="11">
        <f t="shared" si="2"/>
        <v>0</v>
      </c>
      <c r="O32" s="11">
        <f t="shared" si="2"/>
        <v>0</v>
      </c>
      <c r="P32" s="11">
        <f t="shared" si="2"/>
        <v>0</v>
      </c>
      <c r="Q32" s="11">
        <f t="shared" si="2"/>
        <v>0</v>
      </c>
      <c r="R32" s="11">
        <f t="shared" si="2"/>
        <v>0</v>
      </c>
      <c r="S32" s="11">
        <f t="shared" si="2"/>
        <v>0</v>
      </c>
      <c r="T32" s="11">
        <f t="shared" si="2"/>
        <v>0</v>
      </c>
      <c r="U32" s="11">
        <f t="shared" si="2"/>
        <v>0</v>
      </c>
      <c r="V32" s="10"/>
      <c r="Y32" s="53"/>
      <c r="AB32" s="56"/>
      <c r="AC32" s="56"/>
      <c r="AD32" s="56"/>
      <c r="AE32" s="56"/>
      <c r="AF32" s="56"/>
      <c r="AG32" s="56"/>
    </row>
    <row r="33" spans="1:33" s="12" customFormat="1" ht="15.6">
      <c r="A33" s="57"/>
      <c r="B33" s="57"/>
      <c r="C33" s="10"/>
      <c r="D33" s="10"/>
      <c r="E33" s="10"/>
      <c r="F33" s="10"/>
      <c r="G33" s="10"/>
      <c r="H33" s="10"/>
      <c r="I33" s="10"/>
      <c r="J33" s="10"/>
      <c r="K33" s="10"/>
      <c r="L33" s="10"/>
      <c r="M33" s="10"/>
      <c r="N33" s="10"/>
      <c r="O33" s="10"/>
      <c r="P33" s="10"/>
      <c r="Q33" s="10"/>
      <c r="R33" s="10"/>
      <c r="S33" s="10"/>
      <c r="T33" s="10"/>
      <c r="U33" s="10"/>
      <c r="V33" s="10"/>
      <c r="Z33" s="56"/>
      <c r="AA33" s="56"/>
      <c r="AB33" s="56"/>
      <c r="AC33" s="56"/>
      <c r="AD33" s="56"/>
      <c r="AE33" s="56"/>
      <c r="AF33" s="56"/>
      <c r="AG33" s="56"/>
    </row>
    <row r="34" spans="1:33" s="12" customFormat="1" ht="15.6">
      <c r="A34" s="52"/>
      <c r="B34" s="52"/>
      <c r="C34" s="52"/>
      <c r="D34" s="52"/>
      <c r="E34" s="52"/>
      <c r="F34" s="52"/>
      <c r="G34" s="52"/>
      <c r="H34" s="52"/>
      <c r="I34" s="52"/>
      <c r="J34" s="52"/>
      <c r="K34" s="52"/>
      <c r="L34" s="52"/>
      <c r="M34" s="52"/>
      <c r="N34" s="52"/>
      <c r="O34" s="52"/>
      <c r="P34" s="52"/>
      <c r="Q34" s="52"/>
      <c r="R34" s="52"/>
      <c r="S34" s="52"/>
      <c r="T34" s="52"/>
      <c r="U34" s="52"/>
      <c r="V34" s="10"/>
      <c r="Z34" s="56"/>
      <c r="AA34" s="56"/>
      <c r="AB34" s="56"/>
      <c r="AC34" s="56"/>
      <c r="AD34" s="56"/>
      <c r="AE34" s="56"/>
      <c r="AF34" s="56"/>
      <c r="AG34" s="56"/>
    </row>
    <row r="35" spans="1:33" s="12" customFormat="1" ht="15.6">
      <c r="A35" s="129" t="s">
        <v>44</v>
      </c>
      <c r="B35" s="130"/>
      <c r="C35" s="147" t="s">
        <v>45</v>
      </c>
      <c r="D35" s="148"/>
      <c r="E35" s="148"/>
      <c r="F35" s="148"/>
      <c r="G35" s="148"/>
      <c r="H35" s="148"/>
      <c r="I35" s="148"/>
      <c r="J35" s="148"/>
      <c r="K35" s="148"/>
      <c r="L35" s="148"/>
      <c r="M35" s="148"/>
      <c r="N35" s="148"/>
      <c r="O35" s="148"/>
      <c r="P35" s="148"/>
      <c r="Q35" s="148"/>
      <c r="R35" s="148"/>
      <c r="S35" s="148"/>
      <c r="T35" s="148"/>
      <c r="U35" s="148"/>
      <c r="V35" s="58"/>
      <c r="Z35" s="56"/>
      <c r="AA35" s="56"/>
      <c r="AB35" s="56"/>
      <c r="AC35" s="56"/>
      <c r="AD35" s="56"/>
      <c r="AE35" s="56"/>
      <c r="AF35" s="56"/>
      <c r="AG35" s="56"/>
    </row>
    <row r="36" spans="1:33" s="12" customFormat="1" ht="15.6">
      <c r="A36" s="145" t="s">
        <v>46</v>
      </c>
      <c r="B36" s="128"/>
      <c r="C36" s="59">
        <f>$B$24</f>
        <v>0</v>
      </c>
      <c r="D36" s="59">
        <f>$C$36</f>
        <v>0</v>
      </c>
      <c r="E36" s="59">
        <f t="shared" ref="E36:U36" si="3">$C$36</f>
        <v>0</v>
      </c>
      <c r="F36" s="59">
        <f t="shared" si="3"/>
        <v>0</v>
      </c>
      <c r="G36" s="59">
        <f t="shared" si="3"/>
        <v>0</v>
      </c>
      <c r="H36" s="59">
        <f t="shared" si="3"/>
        <v>0</v>
      </c>
      <c r="I36" s="59">
        <f t="shared" si="3"/>
        <v>0</v>
      </c>
      <c r="J36" s="59">
        <f t="shared" si="3"/>
        <v>0</v>
      </c>
      <c r="K36" s="59">
        <f t="shared" si="3"/>
        <v>0</v>
      </c>
      <c r="L36" s="59">
        <f t="shared" si="3"/>
        <v>0</v>
      </c>
      <c r="M36" s="59">
        <f t="shared" si="3"/>
        <v>0</v>
      </c>
      <c r="N36" s="59">
        <f t="shared" si="3"/>
        <v>0</v>
      </c>
      <c r="O36" s="59">
        <f t="shared" si="3"/>
        <v>0</v>
      </c>
      <c r="P36" s="59">
        <f t="shared" si="3"/>
        <v>0</v>
      </c>
      <c r="Q36" s="59">
        <f>$C$36</f>
        <v>0</v>
      </c>
      <c r="R36" s="59">
        <f t="shared" si="3"/>
        <v>0</v>
      </c>
      <c r="S36" s="59">
        <f t="shared" si="3"/>
        <v>0</v>
      </c>
      <c r="T36" s="59">
        <f t="shared" si="3"/>
        <v>0</v>
      </c>
      <c r="U36" s="59">
        <f t="shared" si="3"/>
        <v>0</v>
      </c>
      <c r="V36" s="10"/>
      <c r="Z36" s="56"/>
      <c r="AA36" s="56"/>
      <c r="AB36" s="56"/>
      <c r="AC36" s="56"/>
      <c r="AD36" s="56"/>
      <c r="AE36" s="56"/>
      <c r="AF36" s="56"/>
      <c r="AG36" s="56"/>
    </row>
    <row r="37" spans="1:33" s="12" customFormat="1" ht="15.6">
      <c r="A37" s="127" t="s">
        <v>47</v>
      </c>
      <c r="B37" s="128"/>
      <c r="C37" s="11"/>
      <c r="D37" s="59">
        <f>D31*D36</f>
        <v>0</v>
      </c>
      <c r="E37" s="59">
        <f>E31*E36</f>
        <v>0</v>
      </c>
      <c r="F37" s="59">
        <f t="shared" ref="F37:U37" si="4">F31*F36</f>
        <v>0</v>
      </c>
      <c r="G37" s="59">
        <f>G31*G36</f>
        <v>0</v>
      </c>
      <c r="H37" s="59">
        <f t="shared" si="4"/>
        <v>0</v>
      </c>
      <c r="I37" s="59">
        <f t="shared" si="4"/>
        <v>0</v>
      </c>
      <c r="J37" s="59">
        <f t="shared" si="4"/>
        <v>0</v>
      </c>
      <c r="K37" s="59">
        <f t="shared" si="4"/>
        <v>0</v>
      </c>
      <c r="L37" s="59">
        <f t="shared" si="4"/>
        <v>0</v>
      </c>
      <c r="M37" s="59">
        <f t="shared" si="4"/>
        <v>0</v>
      </c>
      <c r="N37" s="59">
        <f t="shared" si="4"/>
        <v>0</v>
      </c>
      <c r="O37" s="59">
        <f>O31*O36</f>
        <v>0</v>
      </c>
      <c r="P37" s="59">
        <f t="shared" si="4"/>
        <v>0</v>
      </c>
      <c r="Q37" s="59">
        <f t="shared" si="4"/>
        <v>0</v>
      </c>
      <c r="R37" s="59">
        <f t="shared" si="4"/>
        <v>0</v>
      </c>
      <c r="S37" s="59">
        <f t="shared" si="4"/>
        <v>0</v>
      </c>
      <c r="T37" s="59">
        <f t="shared" si="4"/>
        <v>0</v>
      </c>
      <c r="U37" s="59">
        <f t="shared" si="4"/>
        <v>0</v>
      </c>
      <c r="V37" s="58"/>
      <c r="Z37" s="56"/>
      <c r="AA37" s="56"/>
    </row>
    <row r="38" spans="1:33" s="12" customFormat="1" ht="15.6">
      <c r="A38" s="127" t="s">
        <v>19</v>
      </c>
      <c r="B38" s="128"/>
      <c r="C38" s="11"/>
      <c r="D38" s="59">
        <f>D37</f>
        <v>0</v>
      </c>
      <c r="E38" s="59">
        <f t="shared" ref="E38:U38" si="5">D38+E37</f>
        <v>0</v>
      </c>
      <c r="F38" s="59">
        <f t="shared" si="5"/>
        <v>0</v>
      </c>
      <c r="G38" s="59">
        <f t="shared" si="5"/>
        <v>0</v>
      </c>
      <c r="H38" s="59">
        <f t="shared" si="5"/>
        <v>0</v>
      </c>
      <c r="I38" s="59">
        <f t="shared" si="5"/>
        <v>0</v>
      </c>
      <c r="J38" s="59">
        <f t="shared" si="5"/>
        <v>0</v>
      </c>
      <c r="K38" s="59">
        <f t="shared" si="5"/>
        <v>0</v>
      </c>
      <c r="L38" s="59">
        <f t="shared" si="5"/>
        <v>0</v>
      </c>
      <c r="M38" s="59">
        <f t="shared" si="5"/>
        <v>0</v>
      </c>
      <c r="N38" s="59">
        <f t="shared" si="5"/>
        <v>0</v>
      </c>
      <c r="O38" s="59">
        <f t="shared" si="5"/>
        <v>0</v>
      </c>
      <c r="P38" s="59">
        <f t="shared" si="5"/>
        <v>0</v>
      </c>
      <c r="Q38" s="59">
        <f t="shared" si="5"/>
        <v>0</v>
      </c>
      <c r="R38" s="59">
        <f t="shared" si="5"/>
        <v>0</v>
      </c>
      <c r="S38" s="59">
        <f t="shared" si="5"/>
        <v>0</v>
      </c>
      <c r="T38" s="59">
        <f t="shared" si="5"/>
        <v>0</v>
      </c>
      <c r="U38" s="59">
        <f t="shared" si="5"/>
        <v>0</v>
      </c>
      <c r="V38" s="58"/>
    </row>
    <row r="39" spans="1:33" s="12" customFormat="1" ht="15.6">
      <c r="A39" s="60" t="s">
        <v>48</v>
      </c>
      <c r="B39" s="14">
        <f>_xlfn.XLOOKUP(B22,D38:U38,D29:U29," ",1,1)</f>
        <v>1</v>
      </c>
      <c r="C39" s="10"/>
      <c r="D39" s="58"/>
      <c r="E39" s="58"/>
      <c r="F39" s="58"/>
      <c r="G39" s="58"/>
      <c r="H39" s="58"/>
      <c r="I39" s="58"/>
      <c r="J39" s="58"/>
      <c r="K39" s="58"/>
      <c r="L39" s="58"/>
      <c r="M39" s="58"/>
      <c r="N39" s="58"/>
      <c r="O39" s="58"/>
      <c r="P39" s="58"/>
      <c r="Q39" s="58"/>
      <c r="R39" s="58"/>
      <c r="S39" s="58"/>
      <c r="T39" s="58"/>
      <c r="U39" s="58"/>
      <c r="V39" s="58"/>
    </row>
    <row r="40" spans="1:33" s="12" customFormat="1" ht="15.6">
      <c r="A40" s="57"/>
      <c r="B40" s="57"/>
      <c r="C40" s="10"/>
      <c r="D40" s="58"/>
      <c r="E40" s="58"/>
      <c r="F40" s="58"/>
      <c r="G40" s="58"/>
      <c r="H40" s="58"/>
      <c r="I40" s="58"/>
      <c r="J40" s="58"/>
      <c r="K40" s="58"/>
      <c r="L40" s="58"/>
      <c r="M40" s="58"/>
      <c r="N40" s="58"/>
      <c r="O40" s="58"/>
      <c r="P40" s="58"/>
      <c r="Q40" s="58"/>
      <c r="R40" s="58"/>
      <c r="S40" s="58"/>
      <c r="T40" s="58"/>
      <c r="U40" s="58"/>
      <c r="V40" s="58"/>
    </row>
    <row r="41" spans="1:33" s="12" customFormat="1" ht="15.6">
      <c r="A41" s="26" t="s">
        <v>49</v>
      </c>
      <c r="B41" s="51"/>
      <c r="C41" s="8"/>
      <c r="D41"/>
      <c r="E41"/>
      <c r="F41"/>
      <c r="G41"/>
      <c r="H41"/>
      <c r="I41" s="31"/>
      <c r="J41" s="31"/>
      <c r="K41" s="31"/>
      <c r="L41" s="31"/>
      <c r="M41" s="31"/>
      <c r="N41" s="31"/>
      <c r="O41" s="31"/>
      <c r="P41" s="8"/>
      <c r="Q41" s="8"/>
      <c r="R41" s="8"/>
      <c r="S41"/>
      <c r="T41" s="33"/>
      <c r="U41" s="37"/>
      <c r="V41"/>
      <c r="W41"/>
      <c r="X41"/>
      <c r="Y41"/>
      <c r="Z41"/>
      <c r="AA41"/>
      <c r="AB41"/>
      <c r="AC41"/>
      <c r="AD41"/>
      <c r="AE41"/>
      <c r="AF41"/>
      <c r="AG41"/>
    </row>
    <row r="42" spans="1:33" ht="15.6">
      <c r="A42" s="44" t="s">
        <v>27</v>
      </c>
      <c r="B42" s="35" t="s">
        <v>50</v>
      </c>
      <c r="C42" s="38" t="s">
        <v>51</v>
      </c>
      <c r="D42" s="31"/>
      <c r="E42" s="31"/>
      <c r="I42" s="31"/>
      <c r="J42" s="31"/>
      <c r="K42" s="31"/>
      <c r="L42" s="31"/>
      <c r="M42" s="31"/>
      <c r="N42" s="31"/>
      <c r="O42" s="31"/>
      <c r="P42" s="8"/>
      <c r="Q42" s="8"/>
      <c r="R42" s="8"/>
      <c r="T42" s="33"/>
      <c r="U42" s="37"/>
    </row>
    <row r="43" spans="1:33" ht="15.6">
      <c r="A43" s="18" t="s">
        <v>52</v>
      </c>
      <c r="B43" s="28">
        <v>2000</v>
      </c>
      <c r="C43" s="30" t="s">
        <v>53</v>
      </c>
      <c r="D43" s="31"/>
      <c r="E43" s="31"/>
      <c r="I43" s="31"/>
      <c r="J43" s="31"/>
      <c r="K43" s="31"/>
      <c r="L43" s="31"/>
      <c r="M43" s="31"/>
      <c r="N43" s="31"/>
      <c r="O43" s="31"/>
      <c r="P43" s="8"/>
      <c r="Q43" s="8"/>
      <c r="R43" s="8"/>
      <c r="T43" s="33"/>
      <c r="U43" s="37"/>
    </row>
    <row r="44" spans="1:33" ht="15.6">
      <c r="A44" s="12" t="s">
        <v>54</v>
      </c>
      <c r="B44" s="28">
        <v>5000</v>
      </c>
      <c r="C44" s="12" t="s">
        <v>55</v>
      </c>
      <c r="D44" s="31"/>
      <c r="E44" s="31"/>
      <c r="F44" s="29"/>
      <c r="G44" s="31"/>
      <c r="H44" s="31"/>
      <c r="I44" s="31"/>
      <c r="J44" s="31"/>
      <c r="K44" s="31"/>
      <c r="L44" s="31"/>
      <c r="M44" s="31"/>
      <c r="N44" s="31"/>
      <c r="O44" s="31"/>
      <c r="P44" s="8"/>
      <c r="Q44" s="8"/>
      <c r="R44" s="8"/>
      <c r="T44" s="33"/>
      <c r="U44" s="37"/>
    </row>
    <row r="45" spans="1:33" ht="15.6">
      <c r="A45" s="12" t="s">
        <v>56</v>
      </c>
      <c r="B45" s="28">
        <v>14000</v>
      </c>
      <c r="C45" s="12" t="s">
        <v>57</v>
      </c>
      <c r="D45" s="31"/>
      <c r="E45" s="31"/>
      <c r="F45" s="29"/>
      <c r="G45" s="31"/>
      <c r="H45" s="31"/>
      <c r="I45" s="31"/>
      <c r="J45" s="31"/>
      <c r="K45" s="31"/>
      <c r="L45" s="31"/>
      <c r="M45" s="31"/>
      <c r="N45" s="31"/>
      <c r="O45" s="31"/>
      <c r="P45" s="8"/>
      <c r="Q45" s="8"/>
      <c r="R45" s="8"/>
      <c r="T45" s="33"/>
      <c r="U45" s="37"/>
    </row>
    <row r="46" spans="1:33" ht="15.6">
      <c r="A46" s="12" t="s">
        <v>58</v>
      </c>
      <c r="B46" s="28">
        <v>3500</v>
      </c>
      <c r="C46" s="12" t="s">
        <v>59</v>
      </c>
      <c r="D46" s="31"/>
      <c r="E46" s="31"/>
      <c r="F46" s="29"/>
      <c r="G46" s="31"/>
      <c r="H46" s="31"/>
      <c r="I46" s="31"/>
      <c r="J46" s="31"/>
      <c r="K46" s="31"/>
      <c r="L46" s="31"/>
      <c r="M46" s="31"/>
      <c r="N46" s="31"/>
      <c r="O46" s="31"/>
      <c r="P46" s="8"/>
      <c r="Q46" s="8"/>
      <c r="R46" s="8"/>
      <c r="T46" s="33"/>
      <c r="U46" s="37"/>
    </row>
    <row r="47" spans="1:33" ht="15.6">
      <c r="A47" s="12" t="s">
        <v>60</v>
      </c>
      <c r="B47" s="28">
        <v>35000</v>
      </c>
      <c r="C47" s="12" t="s">
        <v>61</v>
      </c>
      <c r="D47" s="31"/>
      <c r="E47" s="31"/>
      <c r="F47" s="29"/>
      <c r="G47" s="31"/>
      <c r="H47" s="31"/>
      <c r="I47" s="31"/>
      <c r="J47" s="31"/>
      <c r="K47" s="31"/>
      <c r="L47" s="31"/>
      <c r="M47" s="31"/>
      <c r="N47" s="31"/>
      <c r="O47" s="31"/>
      <c r="P47" s="8"/>
      <c r="Q47" s="8"/>
      <c r="R47" s="8"/>
      <c r="T47" s="33"/>
      <c r="U47" s="37"/>
    </row>
    <row r="48" spans="1:33" ht="15.6">
      <c r="A48" s="12" t="s">
        <v>62</v>
      </c>
      <c r="B48" s="28">
        <v>7400</v>
      </c>
      <c r="C48" s="29" t="s">
        <v>63</v>
      </c>
      <c r="D48" s="31"/>
      <c r="E48" s="31"/>
      <c r="F48" s="29"/>
      <c r="G48" s="31"/>
      <c r="H48" s="31"/>
      <c r="I48" s="31"/>
      <c r="J48" s="31"/>
      <c r="K48" s="31"/>
      <c r="L48" s="31"/>
      <c r="M48" s="31"/>
      <c r="N48" s="31"/>
      <c r="O48" s="31"/>
      <c r="P48" s="8"/>
      <c r="Q48" s="8"/>
      <c r="R48" s="8"/>
      <c r="T48" s="33"/>
      <c r="U48" s="37"/>
    </row>
    <row r="49" spans="1:21" ht="15.6">
      <c r="A49" s="12" t="s">
        <v>64</v>
      </c>
      <c r="B49" s="28">
        <v>7000</v>
      </c>
      <c r="C49" s="29" t="s">
        <v>63</v>
      </c>
      <c r="D49" s="31"/>
      <c r="E49" s="31"/>
      <c r="F49" s="29"/>
      <c r="G49" s="31"/>
      <c r="H49" s="31"/>
      <c r="I49" s="31"/>
      <c r="J49" s="31"/>
      <c r="K49" s="31"/>
      <c r="L49" s="31"/>
      <c r="M49" s="31"/>
      <c r="N49" s="31"/>
      <c r="O49" s="31"/>
      <c r="P49" s="8"/>
      <c r="Q49" s="8"/>
      <c r="R49" s="8"/>
      <c r="T49" s="33"/>
      <c r="U49" s="37"/>
    </row>
    <row r="50" spans="1:21" ht="15.6">
      <c r="A50" s="18" t="s">
        <v>65</v>
      </c>
      <c r="B50" s="20">
        <v>10500</v>
      </c>
      <c r="C50" s="29" t="s">
        <v>66</v>
      </c>
      <c r="D50" s="31"/>
      <c r="E50" s="31"/>
      <c r="F50" s="29"/>
      <c r="G50" s="31"/>
      <c r="H50" s="31"/>
      <c r="I50" s="31"/>
      <c r="J50" s="31"/>
      <c r="K50" s="31"/>
      <c r="L50" s="31"/>
      <c r="M50" s="31"/>
      <c r="N50" s="31"/>
      <c r="O50" s="31"/>
      <c r="P50" s="8"/>
      <c r="Q50" s="8"/>
      <c r="R50" s="8"/>
      <c r="T50" s="33"/>
      <c r="U50" s="37"/>
    </row>
    <row r="51" spans="1:21" ht="15.6">
      <c r="A51" s="12"/>
      <c r="B51" s="12"/>
      <c r="C51" s="8"/>
      <c r="D51" s="18"/>
      <c r="E51" s="20"/>
      <c r="F51" s="29"/>
      <c r="G51" s="31"/>
      <c r="H51" s="31"/>
      <c r="I51" s="31"/>
      <c r="J51" s="31"/>
      <c r="K51" s="31"/>
      <c r="L51" s="31"/>
      <c r="M51" s="31"/>
      <c r="N51" s="31"/>
      <c r="O51" s="31"/>
      <c r="P51" s="8"/>
      <c r="Q51" s="8"/>
      <c r="R51" s="8"/>
      <c r="T51" s="33"/>
      <c r="U51" s="37"/>
    </row>
    <row r="52" spans="1:21" ht="15.6">
      <c r="A52" s="45" t="s">
        <v>67</v>
      </c>
      <c r="B52" s="36" t="s">
        <v>50</v>
      </c>
      <c r="C52" s="39" t="s">
        <v>68</v>
      </c>
      <c r="D52" s="31"/>
      <c r="E52" s="31"/>
      <c r="F52" s="31"/>
      <c r="G52" s="8"/>
      <c r="H52" s="8"/>
      <c r="I52" s="31"/>
      <c r="J52" s="31"/>
      <c r="K52" s="31"/>
      <c r="L52" s="31"/>
      <c r="M52" s="31"/>
      <c r="N52" s="31"/>
      <c r="O52" s="31"/>
      <c r="P52" s="8"/>
      <c r="Q52" s="8"/>
      <c r="R52" s="8"/>
      <c r="T52" s="33"/>
      <c r="U52" s="37"/>
    </row>
    <row r="53" spans="1:21" ht="15.75">
      <c r="A53" s="61" t="s">
        <v>69</v>
      </c>
      <c r="B53" s="32">
        <v>3800</v>
      </c>
      <c r="C53" s="12" t="s">
        <v>70</v>
      </c>
      <c r="D53" s="31"/>
      <c r="E53" s="31"/>
      <c r="F53" s="31"/>
      <c r="G53" s="8"/>
      <c r="H53" s="8"/>
      <c r="I53" s="31"/>
      <c r="J53" s="31"/>
      <c r="K53" s="31"/>
      <c r="L53" s="31"/>
      <c r="M53" s="31"/>
      <c r="N53" s="31"/>
      <c r="O53" s="31"/>
      <c r="P53" s="8"/>
      <c r="Q53" s="8"/>
      <c r="R53" s="8"/>
      <c r="T53" s="33"/>
      <c r="U53" s="37"/>
    </row>
    <row r="54" spans="1:21" ht="15.75">
      <c r="A54" s="120" t="s">
        <v>71</v>
      </c>
      <c r="B54" s="34" t="s">
        <v>72</v>
      </c>
      <c r="C54" s="12" t="s">
        <v>73</v>
      </c>
      <c r="D54" s="31"/>
      <c r="E54" s="31"/>
      <c r="F54" s="31"/>
      <c r="G54" s="8"/>
      <c r="H54" s="8"/>
      <c r="I54" s="31"/>
      <c r="J54" s="31"/>
      <c r="K54" s="31"/>
      <c r="L54" s="31"/>
      <c r="M54" s="31"/>
      <c r="N54" s="31"/>
      <c r="O54" s="31"/>
      <c r="P54" s="8"/>
      <c r="Q54" s="8"/>
      <c r="R54" s="8"/>
      <c r="T54" s="33"/>
      <c r="U54" s="37"/>
    </row>
  </sheetData>
  <sheetProtection sheet="1" objects="1" scenarios="1"/>
  <protectedRanges>
    <protectedRange sqref="B8:E8" name="Select a Service"/>
    <protectedRange sqref="B21 B23:B25" name="Assumptions"/>
  </protectedRanges>
  <mergeCells count="19">
    <mergeCell ref="A38:B38"/>
    <mergeCell ref="C35:U35"/>
    <mergeCell ref="A2:J2"/>
    <mergeCell ref="A4:J4"/>
    <mergeCell ref="A9:J9"/>
    <mergeCell ref="A13:J13"/>
    <mergeCell ref="A6:E6"/>
    <mergeCell ref="B8:E8"/>
    <mergeCell ref="A19:B19"/>
    <mergeCell ref="A15:J15"/>
    <mergeCell ref="A17:J17"/>
    <mergeCell ref="A37:B37"/>
    <mergeCell ref="A35:B35"/>
    <mergeCell ref="A27:U28"/>
    <mergeCell ref="A29:B29"/>
    <mergeCell ref="A30:B30"/>
    <mergeCell ref="A32:B32"/>
    <mergeCell ref="A36:B36"/>
    <mergeCell ref="A31:B31"/>
  </mergeCells>
  <conditionalFormatting sqref="D38:U40">
    <cfRule type="cellIs" dxfId="1" priority="5" operator="greaterThan">
      <formula>$B$22</formula>
    </cfRule>
  </conditionalFormatting>
  <dataValidations count="1">
    <dataValidation type="list" allowBlank="1" showInputMessage="1" showErrorMessage="1" sqref="B8" xr:uid="{825C50A0-780A-4347-BD4C-D5E119A598BF}">
      <formula1>$A$42:$A$50</formula1>
    </dataValidation>
  </dataValidations>
  <hyperlinks>
    <hyperlink ref="A53" r:id="rId1" xr:uid="{F792A7B3-1304-44CC-AD58-87AF29DC8D7D}"/>
    <hyperlink ref="A54" r:id="rId2" xr:uid="{AEB8206E-103B-49DC-99A4-50CDCE81093C}"/>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D562-C858-4023-80A4-1F7EBD138DD0}">
  <dimension ref="A1:AG53"/>
  <sheetViews>
    <sheetView topLeftCell="A10" workbookViewId="0">
      <selection activeCell="B24" sqref="B24"/>
    </sheetView>
  </sheetViews>
  <sheetFormatPr defaultColWidth="9.140625" defaultRowHeight="14.45"/>
  <cols>
    <col min="1" max="1" width="64.28515625" style="67" customWidth="1"/>
    <col min="2" max="2" width="21.28515625" style="67" customWidth="1"/>
    <col min="3" max="3" width="6.42578125" style="67" bestFit="1" customWidth="1"/>
    <col min="4" max="21" width="13.85546875" style="67" customWidth="1"/>
    <col min="22" max="24" width="10.7109375" style="67" customWidth="1"/>
    <col min="25" max="25" width="9.140625" style="67"/>
    <col min="26" max="26" width="25" style="67" customWidth="1"/>
    <col min="27" max="27" width="18.85546875" style="67" customWidth="1"/>
    <col min="28" max="30" width="33.28515625" style="67" customWidth="1"/>
    <col min="31" max="16384" width="9.140625" style="67"/>
  </cols>
  <sheetData>
    <row r="1" spans="1:33" ht="29.25" customHeight="1">
      <c r="A1" s="65" t="s">
        <v>22</v>
      </c>
      <c r="B1" s="65"/>
      <c r="C1" s="65"/>
      <c r="D1" s="65"/>
      <c r="E1" s="65"/>
      <c r="F1" s="65"/>
      <c r="G1" s="65"/>
      <c r="H1" s="65"/>
      <c r="I1" s="65"/>
      <c r="J1" s="65"/>
      <c r="K1" s="65"/>
      <c r="L1" s="65"/>
      <c r="M1" s="65"/>
      <c r="N1" s="65"/>
      <c r="O1" s="65"/>
      <c r="P1" s="65"/>
      <c r="Q1" s="65"/>
      <c r="R1" s="65"/>
      <c r="S1" s="65"/>
      <c r="T1" s="65"/>
      <c r="U1" s="65"/>
      <c r="V1" s="66"/>
      <c r="W1" s="66"/>
      <c r="X1" s="66"/>
      <c r="Y1" s="171"/>
      <c r="Z1" s="171"/>
      <c r="AA1" s="171"/>
      <c r="AB1" s="171"/>
      <c r="AC1" s="171"/>
      <c r="AD1" s="171"/>
      <c r="AE1" s="171"/>
      <c r="AF1" s="171"/>
      <c r="AG1" s="171"/>
    </row>
    <row r="2" spans="1:33" s="70" customFormat="1" ht="45.75" customHeight="1">
      <c r="A2" s="149" t="s">
        <v>23</v>
      </c>
      <c r="B2" s="149"/>
      <c r="C2" s="149"/>
      <c r="D2" s="149"/>
      <c r="E2" s="149"/>
      <c r="F2" s="149"/>
      <c r="G2" s="149"/>
      <c r="H2" s="149"/>
      <c r="I2" s="149"/>
      <c r="J2" s="149"/>
      <c r="K2" s="68"/>
      <c r="L2" s="68"/>
      <c r="M2" s="68"/>
      <c r="N2" s="68"/>
      <c r="O2" s="68"/>
      <c r="P2" s="68"/>
      <c r="Q2" s="68"/>
      <c r="R2" s="68"/>
      <c r="S2" s="68"/>
      <c r="T2" s="68"/>
      <c r="U2" s="68"/>
      <c r="V2" s="69"/>
      <c r="W2" s="69"/>
      <c r="X2" s="69"/>
    </row>
    <row r="3" spans="1:33" s="70" customFormat="1" ht="15.6">
      <c r="A3" s="68"/>
      <c r="B3" s="68"/>
      <c r="C3" s="68"/>
      <c r="D3" s="68"/>
      <c r="E3" s="68"/>
      <c r="F3" s="68"/>
      <c r="G3" s="68"/>
      <c r="H3" s="68"/>
      <c r="I3" s="68"/>
      <c r="J3" s="68"/>
      <c r="K3" s="68"/>
      <c r="L3" s="68"/>
      <c r="M3" s="68"/>
      <c r="N3" s="68"/>
      <c r="O3" s="68"/>
      <c r="P3" s="68"/>
      <c r="Q3" s="68"/>
      <c r="R3" s="68"/>
      <c r="S3" s="68"/>
      <c r="T3" s="68"/>
      <c r="U3" s="68"/>
      <c r="V3" s="69"/>
      <c r="W3" s="69"/>
      <c r="X3" s="69"/>
    </row>
    <row r="4" spans="1:33" s="70" customFormat="1" ht="49.5" customHeight="1">
      <c r="A4" s="150" t="s">
        <v>74</v>
      </c>
      <c r="B4" s="150"/>
      <c r="C4" s="150"/>
      <c r="D4" s="150"/>
      <c r="E4" s="150"/>
      <c r="F4" s="150"/>
      <c r="G4" s="150"/>
      <c r="H4" s="150"/>
      <c r="I4" s="150"/>
      <c r="J4" s="150"/>
      <c r="K4" s="71"/>
      <c r="L4" s="71"/>
      <c r="M4" s="71"/>
      <c r="N4" s="71"/>
      <c r="O4" s="71"/>
      <c r="P4" s="71"/>
      <c r="Q4" s="71"/>
      <c r="R4" s="71"/>
      <c r="S4" s="71"/>
      <c r="T4" s="71"/>
      <c r="U4" s="71"/>
      <c r="V4" s="72"/>
      <c r="W4" s="72"/>
      <c r="X4" s="72"/>
    </row>
    <row r="5" spans="1:33" s="70" customFormat="1" ht="17.25" customHeight="1">
      <c r="A5" s="71"/>
      <c r="B5" s="71"/>
      <c r="C5" s="71"/>
      <c r="D5" s="71"/>
      <c r="E5" s="71"/>
      <c r="F5" s="71"/>
      <c r="G5" s="71"/>
      <c r="H5" s="71"/>
      <c r="I5" s="71"/>
      <c r="J5" s="71"/>
      <c r="K5" s="71"/>
      <c r="L5" s="71"/>
      <c r="M5" s="71"/>
      <c r="N5" s="71"/>
      <c r="O5" s="71"/>
      <c r="P5" s="71"/>
      <c r="Q5" s="71"/>
      <c r="R5" s="71"/>
      <c r="S5" s="71"/>
      <c r="T5" s="71"/>
      <c r="U5" s="71"/>
      <c r="V5" s="72"/>
      <c r="W5" s="72"/>
      <c r="X5" s="72"/>
    </row>
    <row r="6" spans="1:33" s="74" customFormat="1" ht="15.6">
      <c r="A6" s="151" t="s">
        <v>25</v>
      </c>
      <c r="B6" s="151"/>
      <c r="C6" s="151"/>
      <c r="D6" s="151"/>
      <c r="E6" s="151"/>
      <c r="F6" s="63"/>
      <c r="G6" s="63"/>
      <c r="H6" s="63"/>
      <c r="I6" s="63"/>
      <c r="J6" s="63"/>
      <c r="K6" s="63"/>
      <c r="L6" s="63"/>
      <c r="M6" s="63"/>
      <c r="N6" s="63"/>
      <c r="O6" s="63"/>
      <c r="P6" s="63"/>
      <c r="Q6" s="63"/>
      <c r="R6" s="63"/>
      <c r="S6" s="63"/>
      <c r="T6" s="63"/>
      <c r="U6" s="63"/>
      <c r="V6" s="73"/>
      <c r="W6" s="73"/>
      <c r="X6" s="73"/>
    </row>
    <row r="7" spans="1:33" s="74" customFormat="1" ht="15.6">
      <c r="A7" s="63"/>
      <c r="B7" s="63"/>
      <c r="C7" s="63"/>
      <c r="D7" s="63"/>
      <c r="E7" s="63"/>
      <c r="F7" s="63"/>
      <c r="G7" s="63"/>
      <c r="H7" s="63"/>
      <c r="I7" s="63"/>
      <c r="J7" s="63"/>
      <c r="K7" s="63"/>
      <c r="L7" s="63"/>
      <c r="M7" s="63"/>
      <c r="N7" s="63"/>
      <c r="O7" s="63"/>
      <c r="P7" s="63"/>
      <c r="Q7" s="63"/>
      <c r="R7" s="63"/>
      <c r="S7" s="63"/>
      <c r="T7" s="63"/>
      <c r="U7" s="63"/>
      <c r="V7" s="73"/>
      <c r="W7" s="73"/>
      <c r="X7" s="73"/>
    </row>
    <row r="8" spans="1:33" s="74" customFormat="1" ht="15" customHeight="1">
      <c r="A8" s="75" t="s">
        <v>26</v>
      </c>
      <c r="B8" s="152" t="s">
        <v>27</v>
      </c>
      <c r="C8" s="152"/>
      <c r="D8" s="152"/>
      <c r="E8" s="152"/>
      <c r="F8" s="76"/>
      <c r="G8" s="76"/>
      <c r="H8" s="76"/>
      <c r="I8" s="76"/>
      <c r="J8" s="76"/>
      <c r="K8" s="76"/>
      <c r="L8" s="76"/>
      <c r="M8" s="76"/>
      <c r="N8" s="76"/>
      <c r="O8" s="76"/>
      <c r="P8" s="76"/>
      <c r="Q8" s="76"/>
      <c r="R8" s="76"/>
      <c r="S8" s="76"/>
      <c r="T8" s="76"/>
      <c r="U8" s="76"/>
      <c r="V8" s="73"/>
      <c r="W8" s="73"/>
    </row>
    <row r="9" spans="1:33" s="74" customFormat="1" ht="15" customHeight="1">
      <c r="A9" s="141" t="s">
        <v>75</v>
      </c>
      <c r="B9" s="141"/>
      <c r="C9" s="141"/>
      <c r="D9" s="141"/>
      <c r="E9" s="141"/>
      <c r="F9" s="141"/>
      <c r="G9" s="141"/>
      <c r="H9" s="141"/>
      <c r="I9" s="141"/>
      <c r="J9" s="141"/>
      <c r="K9" s="48"/>
      <c r="L9" s="48"/>
      <c r="M9" s="48"/>
      <c r="N9" s="48"/>
      <c r="O9" s="48"/>
      <c r="P9" s="48"/>
      <c r="Q9" s="48"/>
      <c r="R9" s="48"/>
      <c r="S9" s="48"/>
      <c r="T9" s="48"/>
      <c r="U9" s="48"/>
      <c r="V9" s="73"/>
      <c r="W9" s="73"/>
      <c r="X9" s="73"/>
    </row>
    <row r="10" spans="1:33" s="74" customFormat="1" ht="15" customHeight="1">
      <c r="A10" s="75"/>
      <c r="B10" s="75"/>
      <c r="C10" s="75"/>
      <c r="D10" s="75"/>
      <c r="E10" s="75"/>
      <c r="F10" s="76"/>
      <c r="G10" s="76"/>
      <c r="H10" s="76"/>
      <c r="I10" s="76"/>
      <c r="J10" s="76"/>
      <c r="K10" s="76"/>
      <c r="L10" s="76"/>
      <c r="M10" s="76"/>
      <c r="N10" s="76"/>
      <c r="O10" s="76"/>
      <c r="P10" s="76"/>
      <c r="Q10" s="76"/>
      <c r="R10" s="76"/>
      <c r="S10" s="76"/>
      <c r="T10" s="76"/>
      <c r="U10" s="76"/>
      <c r="V10" s="73"/>
      <c r="W10" s="73"/>
      <c r="X10" s="73"/>
    </row>
    <row r="11" spans="1:33" s="70" customFormat="1" ht="15" customHeight="1">
      <c r="A11" s="62" t="s">
        <v>29</v>
      </c>
      <c r="B11" s="75"/>
      <c r="C11" s="75"/>
      <c r="D11" s="75"/>
      <c r="E11" s="75"/>
      <c r="F11" s="76"/>
      <c r="G11" s="76"/>
      <c r="H11" s="76"/>
      <c r="I11" s="76"/>
      <c r="J11" s="76"/>
      <c r="K11" s="76"/>
      <c r="L11" s="76"/>
      <c r="M11" s="76"/>
      <c r="N11" s="76"/>
      <c r="O11" s="76"/>
      <c r="P11" s="76"/>
      <c r="Q11" s="76"/>
      <c r="R11" s="76"/>
      <c r="S11" s="76"/>
      <c r="T11" s="76"/>
      <c r="U11" s="76"/>
      <c r="V11" s="73"/>
      <c r="W11" s="73"/>
      <c r="X11" s="73"/>
      <c r="Y11" s="74"/>
      <c r="Z11" s="74"/>
      <c r="AA11" s="74"/>
      <c r="AB11" s="74"/>
      <c r="AC11" s="74"/>
      <c r="AD11" s="74"/>
      <c r="AE11" s="74"/>
      <c r="AF11" s="74"/>
      <c r="AG11" s="74"/>
    </row>
    <row r="12" spans="1:33" s="70" customFormat="1" ht="15" customHeight="1">
      <c r="A12" s="75"/>
      <c r="B12" s="75"/>
      <c r="C12" s="75"/>
      <c r="D12" s="75"/>
      <c r="E12" s="75"/>
      <c r="F12" s="76"/>
      <c r="G12" s="76"/>
      <c r="H12" s="76"/>
      <c r="I12" s="76"/>
      <c r="J12" s="76"/>
      <c r="K12" s="76"/>
      <c r="L12" s="76"/>
      <c r="M12" s="76"/>
      <c r="N12" s="76"/>
      <c r="O12" s="76"/>
      <c r="P12" s="76"/>
      <c r="Q12" s="76"/>
      <c r="R12" s="76"/>
      <c r="S12" s="76"/>
      <c r="T12" s="76"/>
      <c r="U12" s="76"/>
      <c r="V12" s="73"/>
      <c r="W12" s="73"/>
      <c r="X12" s="73"/>
      <c r="Y12" s="74"/>
      <c r="Z12" s="74"/>
      <c r="AA12" s="74"/>
      <c r="AB12" s="74"/>
      <c r="AC12" s="74"/>
      <c r="AD12" s="74"/>
      <c r="AE12" s="74"/>
      <c r="AF12" s="74"/>
      <c r="AG12" s="74"/>
    </row>
    <row r="13" spans="1:33" s="70" customFormat="1" ht="15" customHeight="1">
      <c r="A13" s="153" t="s">
        <v>76</v>
      </c>
      <c r="B13" s="153"/>
      <c r="C13" s="153"/>
      <c r="D13" s="153"/>
      <c r="E13" s="153"/>
      <c r="F13" s="153"/>
      <c r="G13" s="153"/>
      <c r="H13" s="153"/>
      <c r="I13" s="153"/>
      <c r="J13" s="153"/>
      <c r="K13" s="75"/>
      <c r="L13" s="75"/>
      <c r="M13" s="75"/>
      <c r="N13" s="75"/>
      <c r="O13" s="75"/>
      <c r="P13" s="75"/>
      <c r="Q13" s="75"/>
      <c r="R13" s="75"/>
      <c r="S13" s="75"/>
      <c r="T13" s="75"/>
      <c r="U13" s="75"/>
      <c r="V13" s="77"/>
      <c r="W13" s="77"/>
      <c r="X13" s="77"/>
    </row>
    <row r="14" spans="1:33" s="70" customFormat="1" ht="15" customHeight="1">
      <c r="A14" s="75"/>
      <c r="B14" s="75"/>
      <c r="C14" s="75"/>
      <c r="D14" s="75"/>
      <c r="E14" s="75"/>
      <c r="F14" s="75"/>
      <c r="G14" s="75"/>
      <c r="H14" s="75"/>
      <c r="I14" s="75"/>
      <c r="J14" s="75"/>
      <c r="K14" s="75"/>
      <c r="L14" s="75"/>
      <c r="M14" s="75"/>
      <c r="N14" s="75"/>
      <c r="O14" s="75"/>
      <c r="P14" s="75"/>
      <c r="Q14" s="75"/>
      <c r="R14" s="75"/>
      <c r="S14" s="75"/>
      <c r="T14" s="75"/>
      <c r="U14" s="75"/>
      <c r="V14" s="77"/>
      <c r="W14" s="77"/>
      <c r="X14" s="77"/>
    </row>
    <row r="15" spans="1:33" s="70" customFormat="1" ht="55.5" customHeight="1">
      <c r="A15" s="154" t="s">
        <v>77</v>
      </c>
      <c r="B15" s="154"/>
      <c r="C15" s="154"/>
      <c r="D15" s="154"/>
      <c r="E15" s="154"/>
      <c r="F15" s="154"/>
      <c r="G15" s="154"/>
      <c r="H15" s="154"/>
      <c r="I15" s="154"/>
      <c r="J15" s="154"/>
      <c r="K15" s="75"/>
      <c r="L15" s="75"/>
      <c r="M15" s="75"/>
      <c r="N15" s="75"/>
      <c r="O15" s="75"/>
      <c r="P15" s="75"/>
      <c r="Q15" s="75"/>
      <c r="R15" s="75"/>
      <c r="S15" s="75"/>
      <c r="T15" s="75"/>
      <c r="U15" s="75"/>
      <c r="V15" s="77"/>
      <c r="W15" s="77"/>
      <c r="X15" s="77"/>
      <c r="Z15" s="78"/>
      <c r="AA15" s="79"/>
    </row>
    <row r="16" spans="1:33" s="70" customFormat="1" ht="15" customHeight="1">
      <c r="A16" s="75"/>
      <c r="B16" s="75"/>
      <c r="C16" s="75"/>
      <c r="D16" s="75"/>
      <c r="E16" s="75"/>
      <c r="F16" s="75"/>
      <c r="G16" s="75"/>
      <c r="H16" s="75"/>
      <c r="I16" s="75"/>
      <c r="J16" s="75"/>
      <c r="K16" s="75"/>
      <c r="L16" s="75"/>
      <c r="M16" s="75"/>
      <c r="N16" s="75"/>
      <c r="O16" s="75"/>
      <c r="P16" s="75"/>
      <c r="Q16" s="75"/>
      <c r="R16" s="75"/>
      <c r="S16" s="75"/>
      <c r="T16" s="75"/>
      <c r="U16" s="75"/>
      <c r="V16" s="77"/>
      <c r="W16" s="77"/>
      <c r="X16" s="77"/>
      <c r="Z16" s="78"/>
      <c r="AA16" s="79"/>
    </row>
    <row r="17" spans="1:33" s="70" customFormat="1" ht="15" customHeight="1">
      <c r="A17" s="165" t="s">
        <v>78</v>
      </c>
      <c r="B17" s="166"/>
      <c r="C17" s="166"/>
      <c r="D17" s="166"/>
      <c r="E17" s="166"/>
      <c r="F17" s="166"/>
      <c r="G17" s="166"/>
      <c r="H17" s="166"/>
      <c r="I17" s="166"/>
      <c r="J17" s="166"/>
      <c r="K17" s="80"/>
      <c r="L17" s="80"/>
      <c r="M17" s="80"/>
      <c r="N17" s="80"/>
      <c r="O17" s="80"/>
      <c r="P17" s="80"/>
      <c r="Q17" s="80"/>
      <c r="R17" s="80"/>
      <c r="S17" s="80"/>
      <c r="T17" s="80"/>
      <c r="U17" s="80"/>
      <c r="V17" s="81"/>
      <c r="W17" s="81"/>
      <c r="X17" s="81"/>
    </row>
    <row r="18" spans="1:33">
      <c r="A18" s="82"/>
      <c r="B18" s="82"/>
      <c r="C18" s="82"/>
      <c r="D18" s="82"/>
      <c r="E18" s="82"/>
      <c r="F18" s="82"/>
      <c r="G18" s="82"/>
      <c r="H18" s="82"/>
      <c r="I18" s="82"/>
      <c r="J18" s="82"/>
      <c r="K18" s="82"/>
      <c r="L18" s="82"/>
      <c r="M18" s="82"/>
      <c r="N18" s="82"/>
      <c r="O18" s="82"/>
      <c r="P18" s="82"/>
      <c r="Q18" s="82"/>
      <c r="R18" s="82"/>
      <c r="S18" s="82"/>
      <c r="T18" s="82"/>
      <c r="U18" s="82"/>
      <c r="V18" s="82"/>
      <c r="W18" s="82"/>
      <c r="X18" s="82"/>
      <c r="Y18" s="171"/>
      <c r="Z18" s="171"/>
      <c r="AA18" s="171"/>
      <c r="AB18" s="171"/>
      <c r="AC18" s="171"/>
      <c r="AD18" s="171"/>
      <c r="AE18" s="171"/>
      <c r="AF18" s="171"/>
      <c r="AG18" s="171"/>
    </row>
    <row r="19" spans="1:33" ht="15" customHeight="1">
      <c r="A19" s="149" t="s">
        <v>33</v>
      </c>
      <c r="B19" s="149"/>
      <c r="C19" s="38"/>
      <c r="D19" s="171"/>
      <c r="E19" s="171"/>
      <c r="F19" s="171"/>
      <c r="G19" s="171"/>
      <c r="H19" s="171"/>
      <c r="I19" s="83"/>
      <c r="J19" s="171"/>
      <c r="K19" s="171"/>
      <c r="L19" s="171"/>
      <c r="M19" s="171"/>
      <c r="N19" s="171"/>
      <c r="O19" s="171"/>
      <c r="P19" s="171"/>
      <c r="Q19" s="171"/>
      <c r="R19" s="82"/>
      <c r="S19" s="171"/>
      <c r="T19" s="84"/>
      <c r="U19" s="172"/>
      <c r="V19" s="171"/>
      <c r="W19" s="171"/>
      <c r="X19" s="171"/>
      <c r="Y19" s="171"/>
      <c r="Z19" s="171"/>
      <c r="AA19" s="171"/>
      <c r="AB19" s="171"/>
      <c r="AC19" s="171"/>
      <c r="AD19" s="171"/>
      <c r="AE19" s="171"/>
      <c r="AF19" s="171"/>
      <c r="AG19" s="171"/>
    </row>
    <row r="20" spans="1:33" ht="15.75" customHeight="1">
      <c r="A20" s="85" t="s">
        <v>79</v>
      </c>
      <c r="B20" s="86" t="str">
        <f>_xlfn.XLOOKUP(B8,A42:A49,B42:B49, "select service in B6")</f>
        <v>select service in B6</v>
      </c>
      <c r="C20" s="82"/>
      <c r="D20" s="171"/>
      <c r="E20" s="87"/>
      <c r="F20" s="171"/>
      <c r="G20" s="171"/>
      <c r="H20" s="85"/>
      <c r="I20" s="83"/>
      <c r="J20" s="171"/>
      <c r="K20" s="171"/>
      <c r="L20" s="171"/>
      <c r="M20" s="171"/>
      <c r="N20" s="171"/>
      <c r="O20" s="171"/>
      <c r="P20" s="171"/>
      <c r="Q20" s="171"/>
      <c r="R20" s="82"/>
      <c r="S20" s="171"/>
      <c r="T20" s="84"/>
      <c r="U20" s="172"/>
      <c r="V20" s="171"/>
      <c r="W20" s="171"/>
      <c r="X20" s="171"/>
      <c r="Y20" s="171"/>
      <c r="Z20" s="171"/>
      <c r="AA20" s="171"/>
      <c r="AB20" s="171"/>
      <c r="AC20" s="171"/>
      <c r="AD20" s="171"/>
      <c r="AE20" s="171"/>
      <c r="AF20" s="171"/>
      <c r="AG20" s="171"/>
    </row>
    <row r="21" spans="1:33" ht="15.75" customHeight="1">
      <c r="A21" s="41" t="s">
        <v>35</v>
      </c>
      <c r="B21" s="88">
        <v>0</v>
      </c>
      <c r="C21" s="82"/>
      <c r="D21" s="171"/>
      <c r="E21" s="87"/>
      <c r="F21" s="171"/>
      <c r="G21" s="171"/>
      <c r="H21" s="85"/>
      <c r="I21" s="83"/>
      <c r="J21" s="171"/>
      <c r="K21" s="171"/>
      <c r="L21" s="171"/>
      <c r="M21" s="171"/>
      <c r="N21" s="171"/>
      <c r="O21" s="171"/>
      <c r="P21" s="171"/>
      <c r="Q21" s="171"/>
      <c r="R21" s="82"/>
      <c r="S21" s="171"/>
      <c r="T21" s="84"/>
      <c r="U21" s="172"/>
      <c r="V21" s="171"/>
      <c r="W21" s="171"/>
      <c r="X21" s="171"/>
      <c r="Y21" s="171"/>
      <c r="Z21" s="171"/>
      <c r="AA21" s="171"/>
      <c r="AB21" s="171"/>
      <c r="AC21" s="171"/>
      <c r="AD21" s="171"/>
      <c r="AE21" s="171"/>
      <c r="AF21" s="171"/>
      <c r="AG21" s="171"/>
    </row>
    <row r="22" spans="1:33" ht="15.75" customHeight="1">
      <c r="A22" s="121" t="s">
        <v>36</v>
      </c>
      <c r="B22" s="122">
        <f>SUM($B$20:$B$21)</f>
        <v>0</v>
      </c>
      <c r="C22" s="82"/>
      <c r="D22" s="171"/>
      <c r="E22" s="87"/>
      <c r="F22" s="171"/>
      <c r="G22" s="171"/>
      <c r="H22" s="85"/>
      <c r="I22" s="83"/>
      <c r="J22" s="171"/>
      <c r="K22" s="171"/>
      <c r="L22" s="171"/>
      <c r="M22" s="171"/>
      <c r="N22" s="171"/>
      <c r="O22" s="171"/>
      <c r="P22" s="171"/>
      <c r="Q22" s="171"/>
      <c r="R22" s="82"/>
      <c r="S22" s="171"/>
      <c r="T22" s="84"/>
      <c r="U22" s="172"/>
      <c r="V22" s="171"/>
      <c r="W22" s="171"/>
      <c r="X22" s="171"/>
      <c r="Y22" s="171"/>
      <c r="Z22" s="171"/>
      <c r="AA22" s="171"/>
      <c r="AB22" s="171"/>
      <c r="AC22" s="171"/>
      <c r="AD22" s="171"/>
      <c r="AE22" s="171"/>
      <c r="AF22" s="171"/>
      <c r="AG22" s="171"/>
    </row>
    <row r="23" spans="1:33" ht="15.75" customHeight="1">
      <c r="A23" s="85" t="s">
        <v>80</v>
      </c>
      <c r="B23" s="89">
        <v>0</v>
      </c>
      <c r="C23" s="82"/>
      <c r="D23" s="171"/>
      <c r="E23" s="90"/>
      <c r="F23" s="171"/>
      <c r="G23" s="171"/>
      <c r="H23" s="85"/>
      <c r="I23" s="83"/>
      <c r="J23" s="83"/>
      <c r="K23" s="83"/>
      <c r="L23" s="83"/>
      <c r="M23" s="83"/>
      <c r="N23" s="83"/>
      <c r="O23" s="83"/>
      <c r="P23" s="82"/>
      <c r="Q23" s="82"/>
      <c r="R23" s="82"/>
      <c r="S23" s="171"/>
      <c r="T23" s="84"/>
      <c r="U23" s="172"/>
      <c r="V23" s="171"/>
      <c r="W23" s="171"/>
      <c r="X23" s="171"/>
      <c r="Y23" s="171"/>
      <c r="Z23" s="171"/>
      <c r="AA23" s="171"/>
      <c r="AB23" s="171"/>
      <c r="AC23" s="171"/>
      <c r="AD23" s="171"/>
      <c r="AE23" s="171"/>
      <c r="AF23" s="171"/>
      <c r="AG23" s="171"/>
    </row>
    <row r="24" spans="1:33" ht="15.75" customHeight="1">
      <c r="A24" s="85" t="s">
        <v>81</v>
      </c>
      <c r="B24" s="91">
        <v>0</v>
      </c>
      <c r="C24" s="82"/>
      <c r="D24" s="171"/>
      <c r="E24" s="92"/>
      <c r="F24" s="171"/>
      <c r="G24" s="171"/>
      <c r="H24" s="85"/>
      <c r="I24" s="83"/>
      <c r="J24" s="83"/>
      <c r="K24" s="83"/>
      <c r="L24" s="83"/>
      <c r="M24" s="83"/>
      <c r="N24" s="83"/>
      <c r="O24" s="83"/>
      <c r="P24" s="82"/>
      <c r="Q24" s="82"/>
      <c r="R24" s="82"/>
      <c r="S24" s="171"/>
      <c r="T24" s="84"/>
      <c r="U24" s="172"/>
      <c r="V24" s="171"/>
      <c r="W24" s="171"/>
      <c r="X24" s="171"/>
      <c r="Y24" s="171"/>
      <c r="Z24" s="171"/>
      <c r="AA24" s="171"/>
      <c r="AB24" s="171"/>
      <c r="AC24" s="171"/>
      <c r="AD24" s="171"/>
      <c r="AE24" s="171"/>
      <c r="AF24" s="171"/>
      <c r="AG24" s="171"/>
    </row>
    <row r="25" spans="1:33" ht="15.75" customHeight="1">
      <c r="A25" s="85" t="s">
        <v>82</v>
      </c>
      <c r="B25" s="93">
        <v>0</v>
      </c>
      <c r="C25" s="82"/>
      <c r="D25" s="171"/>
      <c r="E25" s="94"/>
      <c r="F25" s="171"/>
      <c r="G25" s="171"/>
      <c r="H25" s="85"/>
      <c r="I25" s="83"/>
      <c r="J25" s="83"/>
      <c r="K25" s="83"/>
      <c r="L25" s="83"/>
      <c r="M25" s="83"/>
      <c r="N25" s="83"/>
      <c r="O25" s="83"/>
      <c r="P25" s="82"/>
      <c r="Q25" s="82"/>
      <c r="R25" s="82"/>
      <c r="S25" s="171"/>
      <c r="T25" s="84"/>
      <c r="U25" s="172"/>
      <c r="V25" s="171"/>
      <c r="W25" s="171"/>
      <c r="X25" s="171"/>
      <c r="Y25" s="171"/>
      <c r="Z25" s="171"/>
      <c r="AA25" s="171"/>
      <c r="AB25" s="171"/>
      <c r="AC25" s="171"/>
      <c r="AD25" s="171"/>
      <c r="AE25" s="171"/>
      <c r="AF25" s="171"/>
      <c r="AG25" s="171"/>
    </row>
    <row r="26" spans="1:33" ht="15.75" customHeight="1">
      <c r="A26" s="70"/>
      <c r="B26" s="70"/>
      <c r="C26" s="82"/>
      <c r="D26" s="74"/>
      <c r="E26" s="79"/>
      <c r="F26" s="99"/>
      <c r="G26" s="83"/>
      <c r="H26" s="83"/>
      <c r="I26" s="83"/>
      <c r="J26" s="83"/>
      <c r="K26" s="83"/>
      <c r="L26" s="83"/>
      <c r="M26" s="83"/>
      <c r="N26" s="83"/>
      <c r="O26" s="83"/>
      <c r="P26" s="82"/>
      <c r="Q26" s="82"/>
      <c r="R26" s="82"/>
      <c r="S26" s="171"/>
      <c r="T26" s="84"/>
      <c r="U26" s="172"/>
      <c r="V26" s="171"/>
      <c r="W26" s="171"/>
      <c r="X26" s="171"/>
      <c r="Y26" s="171"/>
      <c r="Z26" s="171"/>
      <c r="AA26" s="171"/>
      <c r="AB26" s="171"/>
      <c r="AC26" s="171"/>
      <c r="AD26" s="171"/>
      <c r="AE26" s="171"/>
      <c r="AF26" s="171"/>
      <c r="AG26" s="171"/>
    </row>
    <row r="27" spans="1:33">
      <c r="A27" s="155" t="s">
        <v>40</v>
      </c>
      <c r="B27" s="156"/>
      <c r="C27" s="156"/>
      <c r="D27" s="156"/>
      <c r="E27" s="156"/>
      <c r="F27" s="156"/>
      <c r="G27" s="156"/>
      <c r="H27" s="156"/>
      <c r="I27" s="156"/>
      <c r="J27" s="156"/>
      <c r="K27" s="156"/>
      <c r="L27" s="156"/>
      <c r="M27" s="156"/>
      <c r="N27" s="156"/>
      <c r="O27" s="156"/>
      <c r="P27" s="156"/>
      <c r="Q27" s="156"/>
      <c r="R27" s="156"/>
      <c r="S27" s="156"/>
      <c r="T27" s="156"/>
      <c r="U27" s="157"/>
      <c r="V27" s="107"/>
      <c r="W27" s="171"/>
      <c r="X27" s="171"/>
      <c r="Y27" s="171"/>
      <c r="Z27" s="171"/>
      <c r="AA27" s="171"/>
      <c r="AB27" s="171"/>
      <c r="AC27" s="171"/>
      <c r="AD27" s="171"/>
      <c r="AE27" s="171"/>
      <c r="AF27" s="171"/>
      <c r="AG27" s="171"/>
    </row>
    <row r="28" spans="1:33">
      <c r="A28" s="158"/>
      <c r="B28" s="159"/>
      <c r="C28" s="159"/>
      <c r="D28" s="159"/>
      <c r="E28" s="159"/>
      <c r="F28" s="159"/>
      <c r="G28" s="159"/>
      <c r="H28" s="159"/>
      <c r="I28" s="159"/>
      <c r="J28" s="159"/>
      <c r="K28" s="159"/>
      <c r="L28" s="159"/>
      <c r="M28" s="159"/>
      <c r="N28" s="159"/>
      <c r="O28" s="159"/>
      <c r="P28" s="159"/>
      <c r="Q28" s="159"/>
      <c r="R28" s="159"/>
      <c r="S28" s="159"/>
      <c r="T28" s="159"/>
      <c r="U28" s="160"/>
      <c r="V28" s="107"/>
      <c r="W28" s="171"/>
      <c r="X28" s="171"/>
      <c r="Y28" s="108"/>
      <c r="Z28" s="171"/>
      <c r="AA28" s="171"/>
      <c r="AB28" s="171"/>
      <c r="AC28" s="171"/>
      <c r="AD28" s="171"/>
      <c r="AE28" s="171"/>
      <c r="AF28" s="171"/>
      <c r="AG28" s="171"/>
    </row>
    <row r="29" spans="1:33" s="70" customFormat="1" ht="15.6">
      <c r="A29" s="161" t="s">
        <v>6</v>
      </c>
      <c r="B29" s="162"/>
      <c r="C29" s="109"/>
      <c r="D29" s="109">
        <v>1</v>
      </c>
      <c r="E29" s="109">
        <v>2</v>
      </c>
      <c r="F29" s="109">
        <v>3</v>
      </c>
      <c r="G29" s="109">
        <v>4</v>
      </c>
      <c r="H29" s="109">
        <v>5</v>
      </c>
      <c r="I29" s="109">
        <v>6</v>
      </c>
      <c r="J29" s="109">
        <v>7</v>
      </c>
      <c r="K29" s="109">
        <v>8</v>
      </c>
      <c r="L29" s="109">
        <v>9</v>
      </c>
      <c r="M29" s="109">
        <v>10</v>
      </c>
      <c r="N29" s="109">
        <v>11</v>
      </c>
      <c r="O29" s="109">
        <v>12</v>
      </c>
      <c r="P29" s="109">
        <v>13</v>
      </c>
      <c r="Q29" s="109">
        <v>14</v>
      </c>
      <c r="R29" s="109">
        <v>15</v>
      </c>
      <c r="S29" s="109">
        <v>16</v>
      </c>
      <c r="T29" s="109">
        <v>17</v>
      </c>
      <c r="U29" s="109">
        <v>18</v>
      </c>
      <c r="V29" s="110"/>
      <c r="Y29" s="111"/>
    </row>
    <row r="30" spans="1:33" s="70" customFormat="1" ht="15.6">
      <c r="A30" s="163" t="s">
        <v>41</v>
      </c>
      <c r="B30" s="164"/>
      <c r="C30" s="112"/>
      <c r="D30" s="113">
        <f>$B$23</f>
        <v>0</v>
      </c>
      <c r="E30" s="113">
        <f t="shared" ref="E30:U30" si="0">$B$23</f>
        <v>0</v>
      </c>
      <c r="F30" s="113">
        <f t="shared" si="0"/>
        <v>0</v>
      </c>
      <c r="G30" s="113">
        <f t="shared" si="0"/>
        <v>0</v>
      </c>
      <c r="H30" s="113">
        <f t="shared" si="0"/>
        <v>0</v>
      </c>
      <c r="I30" s="113">
        <f t="shared" si="0"/>
        <v>0</v>
      </c>
      <c r="J30" s="113">
        <f t="shared" si="0"/>
        <v>0</v>
      </c>
      <c r="K30" s="113">
        <f t="shared" si="0"/>
        <v>0</v>
      </c>
      <c r="L30" s="113">
        <f t="shared" si="0"/>
        <v>0</v>
      </c>
      <c r="M30" s="113">
        <f t="shared" si="0"/>
        <v>0</v>
      </c>
      <c r="N30" s="113">
        <f t="shared" si="0"/>
        <v>0</v>
      </c>
      <c r="O30" s="113">
        <f t="shared" si="0"/>
        <v>0</v>
      </c>
      <c r="P30" s="113">
        <f t="shared" si="0"/>
        <v>0</v>
      </c>
      <c r="Q30" s="113">
        <f t="shared" si="0"/>
        <v>0</v>
      </c>
      <c r="R30" s="113">
        <f t="shared" si="0"/>
        <v>0</v>
      </c>
      <c r="S30" s="113">
        <f t="shared" si="0"/>
        <v>0</v>
      </c>
      <c r="T30" s="113">
        <f t="shared" si="0"/>
        <v>0</v>
      </c>
      <c r="U30" s="113">
        <f t="shared" si="0"/>
        <v>0</v>
      </c>
      <c r="V30" s="85"/>
      <c r="Y30" s="111"/>
    </row>
    <row r="31" spans="1:33" s="70" customFormat="1" ht="15.6">
      <c r="A31" s="163" t="s">
        <v>42</v>
      </c>
      <c r="B31" s="164"/>
      <c r="C31" s="114"/>
      <c r="D31" s="113">
        <f>$D$30</f>
        <v>0</v>
      </c>
      <c r="E31" s="113">
        <f t="shared" ref="E31:U31" si="1">ROUND(D31*(1-$B$25)+E30,0)</f>
        <v>0</v>
      </c>
      <c r="F31" s="113">
        <f t="shared" si="1"/>
        <v>0</v>
      </c>
      <c r="G31" s="113">
        <f t="shared" si="1"/>
        <v>0</v>
      </c>
      <c r="H31" s="113">
        <f t="shared" si="1"/>
        <v>0</v>
      </c>
      <c r="I31" s="113">
        <f t="shared" si="1"/>
        <v>0</v>
      </c>
      <c r="J31" s="113">
        <f t="shared" si="1"/>
        <v>0</v>
      </c>
      <c r="K31" s="113">
        <f t="shared" si="1"/>
        <v>0</v>
      </c>
      <c r="L31" s="113">
        <f t="shared" si="1"/>
        <v>0</v>
      </c>
      <c r="M31" s="113">
        <f t="shared" si="1"/>
        <v>0</v>
      </c>
      <c r="N31" s="113">
        <f t="shared" si="1"/>
        <v>0</v>
      </c>
      <c r="O31" s="113">
        <f t="shared" si="1"/>
        <v>0</v>
      </c>
      <c r="P31" s="113">
        <f t="shared" si="1"/>
        <v>0</v>
      </c>
      <c r="Q31" s="113">
        <f t="shared" si="1"/>
        <v>0</v>
      </c>
      <c r="R31" s="113">
        <f t="shared" si="1"/>
        <v>0</v>
      </c>
      <c r="S31" s="113">
        <f t="shared" si="1"/>
        <v>0</v>
      </c>
      <c r="T31" s="113">
        <f t="shared" si="1"/>
        <v>0</v>
      </c>
      <c r="U31" s="113">
        <f t="shared" si="1"/>
        <v>0</v>
      </c>
      <c r="V31" s="85"/>
      <c r="Y31" s="111"/>
    </row>
    <row r="32" spans="1:33" s="70" customFormat="1" ht="15.6">
      <c r="A32" s="163" t="s">
        <v>43</v>
      </c>
      <c r="B32" s="164"/>
      <c r="C32" s="112"/>
      <c r="D32" s="112">
        <f>D30</f>
        <v>0</v>
      </c>
      <c r="E32" s="112">
        <f t="shared" ref="E32:U32" si="2">D32+E30</f>
        <v>0</v>
      </c>
      <c r="F32" s="112">
        <f t="shared" si="2"/>
        <v>0</v>
      </c>
      <c r="G32" s="112">
        <f t="shared" si="2"/>
        <v>0</v>
      </c>
      <c r="H32" s="112">
        <f t="shared" si="2"/>
        <v>0</v>
      </c>
      <c r="I32" s="112">
        <f t="shared" si="2"/>
        <v>0</v>
      </c>
      <c r="J32" s="112">
        <f t="shared" si="2"/>
        <v>0</v>
      </c>
      <c r="K32" s="112">
        <f t="shared" si="2"/>
        <v>0</v>
      </c>
      <c r="L32" s="112">
        <f t="shared" si="2"/>
        <v>0</v>
      </c>
      <c r="M32" s="112">
        <f t="shared" si="2"/>
        <v>0</v>
      </c>
      <c r="N32" s="112">
        <f t="shared" si="2"/>
        <v>0</v>
      </c>
      <c r="O32" s="112">
        <f t="shared" si="2"/>
        <v>0</v>
      </c>
      <c r="P32" s="112">
        <f t="shared" si="2"/>
        <v>0</v>
      </c>
      <c r="Q32" s="112">
        <f t="shared" si="2"/>
        <v>0</v>
      </c>
      <c r="R32" s="112">
        <f t="shared" si="2"/>
        <v>0</v>
      </c>
      <c r="S32" s="112">
        <f t="shared" si="2"/>
        <v>0</v>
      </c>
      <c r="T32" s="112">
        <f t="shared" si="2"/>
        <v>0</v>
      </c>
      <c r="U32" s="112">
        <f t="shared" si="2"/>
        <v>0</v>
      </c>
      <c r="V32" s="85"/>
      <c r="Y32" s="111"/>
      <c r="AB32" s="115"/>
      <c r="AC32" s="115"/>
      <c r="AD32" s="115"/>
      <c r="AE32" s="115"/>
      <c r="AF32" s="115"/>
      <c r="AG32" s="115"/>
    </row>
    <row r="33" spans="1:33" s="70" customFormat="1" ht="15.6">
      <c r="A33" s="116"/>
      <c r="B33" s="116"/>
      <c r="C33" s="85"/>
      <c r="D33" s="85"/>
      <c r="E33" s="85"/>
      <c r="F33" s="85"/>
      <c r="G33" s="85"/>
      <c r="H33" s="85"/>
      <c r="I33" s="85"/>
      <c r="J33" s="85"/>
      <c r="K33" s="85"/>
      <c r="L33" s="85"/>
      <c r="M33" s="85"/>
      <c r="N33" s="85"/>
      <c r="O33" s="85"/>
      <c r="P33" s="85"/>
      <c r="Q33" s="85"/>
      <c r="R33" s="85"/>
      <c r="S33" s="85"/>
      <c r="T33" s="85"/>
      <c r="U33" s="85"/>
      <c r="V33" s="85"/>
      <c r="Z33" s="115"/>
      <c r="AA33" s="115"/>
      <c r="AB33" s="115"/>
      <c r="AC33" s="115"/>
      <c r="AD33" s="115"/>
      <c r="AE33" s="115"/>
      <c r="AF33" s="115"/>
      <c r="AG33" s="115"/>
    </row>
    <row r="34" spans="1:33" s="70" customFormat="1" ht="15.6">
      <c r="A34" s="167" t="s">
        <v>17</v>
      </c>
      <c r="B34" s="168"/>
      <c r="C34" s="169" t="s">
        <v>83</v>
      </c>
      <c r="D34" s="170"/>
      <c r="E34" s="170"/>
      <c r="F34" s="170"/>
      <c r="G34" s="170"/>
      <c r="H34" s="170"/>
      <c r="I34" s="170"/>
      <c r="J34" s="170"/>
      <c r="K34" s="170"/>
      <c r="L34" s="170"/>
      <c r="M34" s="170"/>
      <c r="N34" s="170"/>
      <c r="O34" s="170"/>
      <c r="P34" s="170"/>
      <c r="Q34" s="170"/>
      <c r="R34" s="170"/>
      <c r="S34" s="170"/>
      <c r="T34" s="170"/>
      <c r="U34" s="170"/>
      <c r="V34" s="85"/>
    </row>
    <row r="35" spans="1:33" s="70" customFormat="1" ht="15.6">
      <c r="A35" s="163" t="s">
        <v>84</v>
      </c>
      <c r="B35" s="164"/>
      <c r="C35" s="117">
        <f>$B$24</f>
        <v>0</v>
      </c>
      <c r="D35" s="117">
        <f>$C$35</f>
        <v>0</v>
      </c>
      <c r="E35" s="117">
        <f t="shared" ref="E35:U35" si="3">$C$35</f>
        <v>0</v>
      </c>
      <c r="F35" s="117">
        <f t="shared" si="3"/>
        <v>0</v>
      </c>
      <c r="G35" s="117">
        <f t="shared" si="3"/>
        <v>0</v>
      </c>
      <c r="H35" s="117">
        <f t="shared" si="3"/>
        <v>0</v>
      </c>
      <c r="I35" s="117">
        <f t="shared" si="3"/>
        <v>0</v>
      </c>
      <c r="J35" s="117">
        <f t="shared" si="3"/>
        <v>0</v>
      </c>
      <c r="K35" s="117">
        <f t="shared" si="3"/>
        <v>0</v>
      </c>
      <c r="L35" s="117">
        <f t="shared" si="3"/>
        <v>0</v>
      </c>
      <c r="M35" s="117">
        <f t="shared" si="3"/>
        <v>0</v>
      </c>
      <c r="N35" s="117">
        <f t="shared" si="3"/>
        <v>0</v>
      </c>
      <c r="O35" s="117">
        <f t="shared" si="3"/>
        <v>0</v>
      </c>
      <c r="P35" s="117">
        <f t="shared" si="3"/>
        <v>0</v>
      </c>
      <c r="Q35" s="117">
        <f t="shared" si="3"/>
        <v>0</v>
      </c>
      <c r="R35" s="117">
        <f t="shared" si="3"/>
        <v>0</v>
      </c>
      <c r="S35" s="117">
        <f t="shared" si="3"/>
        <v>0</v>
      </c>
      <c r="T35" s="117">
        <f t="shared" si="3"/>
        <v>0</v>
      </c>
      <c r="U35" s="117">
        <f t="shared" si="3"/>
        <v>0</v>
      </c>
      <c r="V35" s="92"/>
    </row>
    <row r="36" spans="1:33" s="70" customFormat="1" ht="15.6">
      <c r="A36" s="163" t="s">
        <v>47</v>
      </c>
      <c r="B36" s="164"/>
      <c r="C36" s="112"/>
      <c r="D36" s="117">
        <f t="shared" ref="D36:U36" si="4">D31*D35</f>
        <v>0</v>
      </c>
      <c r="E36" s="117">
        <f t="shared" si="4"/>
        <v>0</v>
      </c>
      <c r="F36" s="117">
        <f t="shared" si="4"/>
        <v>0</v>
      </c>
      <c r="G36" s="117">
        <f t="shared" si="4"/>
        <v>0</v>
      </c>
      <c r="H36" s="117">
        <f t="shared" si="4"/>
        <v>0</v>
      </c>
      <c r="I36" s="117">
        <f t="shared" si="4"/>
        <v>0</v>
      </c>
      <c r="J36" s="117">
        <f t="shared" si="4"/>
        <v>0</v>
      </c>
      <c r="K36" s="117">
        <f t="shared" si="4"/>
        <v>0</v>
      </c>
      <c r="L36" s="117">
        <f t="shared" si="4"/>
        <v>0</v>
      </c>
      <c r="M36" s="117">
        <f t="shared" si="4"/>
        <v>0</v>
      </c>
      <c r="N36" s="117">
        <f t="shared" si="4"/>
        <v>0</v>
      </c>
      <c r="O36" s="117">
        <f t="shared" si="4"/>
        <v>0</v>
      </c>
      <c r="P36" s="117">
        <f t="shared" si="4"/>
        <v>0</v>
      </c>
      <c r="Q36" s="117">
        <f t="shared" si="4"/>
        <v>0</v>
      </c>
      <c r="R36" s="117">
        <f t="shared" si="4"/>
        <v>0</v>
      </c>
      <c r="S36" s="117">
        <f t="shared" si="4"/>
        <v>0</v>
      </c>
      <c r="T36" s="117">
        <f t="shared" si="4"/>
        <v>0</v>
      </c>
      <c r="U36" s="117">
        <f t="shared" si="4"/>
        <v>0</v>
      </c>
      <c r="V36" s="85"/>
    </row>
    <row r="37" spans="1:33" s="70" customFormat="1" ht="15.6">
      <c r="A37" s="163" t="s">
        <v>19</v>
      </c>
      <c r="B37" s="164"/>
      <c r="C37" s="112"/>
      <c r="D37" s="117">
        <f>D36</f>
        <v>0</v>
      </c>
      <c r="E37" s="117">
        <f>D37+E36</f>
        <v>0</v>
      </c>
      <c r="F37" s="117">
        <f t="shared" ref="F37:U37" si="5">E37+F36</f>
        <v>0</v>
      </c>
      <c r="G37" s="117">
        <f t="shared" si="5"/>
        <v>0</v>
      </c>
      <c r="H37" s="117">
        <f t="shared" si="5"/>
        <v>0</v>
      </c>
      <c r="I37" s="117">
        <f t="shared" si="5"/>
        <v>0</v>
      </c>
      <c r="J37" s="117">
        <f t="shared" si="5"/>
        <v>0</v>
      </c>
      <c r="K37" s="117">
        <f t="shared" si="5"/>
        <v>0</v>
      </c>
      <c r="L37" s="117">
        <f t="shared" si="5"/>
        <v>0</v>
      </c>
      <c r="M37" s="117">
        <f t="shared" si="5"/>
        <v>0</v>
      </c>
      <c r="N37" s="117">
        <f t="shared" si="5"/>
        <v>0</v>
      </c>
      <c r="O37" s="117">
        <f t="shared" si="5"/>
        <v>0</v>
      </c>
      <c r="P37" s="117">
        <f t="shared" si="5"/>
        <v>0</v>
      </c>
      <c r="Q37" s="117">
        <f t="shared" si="5"/>
        <v>0</v>
      </c>
      <c r="R37" s="117">
        <f t="shared" si="5"/>
        <v>0</v>
      </c>
      <c r="S37" s="117">
        <f t="shared" si="5"/>
        <v>0</v>
      </c>
      <c r="T37" s="117">
        <f t="shared" si="5"/>
        <v>0</v>
      </c>
      <c r="U37" s="117">
        <f t="shared" si="5"/>
        <v>0</v>
      </c>
      <c r="V37" s="92"/>
      <c r="W37" s="85"/>
      <c r="X37" s="85"/>
    </row>
    <row r="38" spans="1:33" s="70" customFormat="1" ht="15.6">
      <c r="A38" s="118" t="s">
        <v>48</v>
      </c>
      <c r="B38" s="119">
        <f>_xlfn.XLOOKUP(B22,D37:U37,D29:U29," ",1,1)</f>
        <v>1</v>
      </c>
      <c r="C38" s="85"/>
      <c r="D38" s="85"/>
      <c r="E38" s="85"/>
      <c r="F38" s="85"/>
      <c r="G38" s="85"/>
      <c r="H38" s="85"/>
      <c r="I38" s="85"/>
      <c r="J38" s="85"/>
      <c r="K38" s="85"/>
      <c r="L38" s="85"/>
      <c r="M38" s="85"/>
      <c r="N38" s="85"/>
      <c r="O38" s="85"/>
      <c r="P38" s="85"/>
      <c r="Q38" s="85"/>
      <c r="R38" s="85"/>
      <c r="S38" s="85"/>
      <c r="T38" s="85"/>
      <c r="U38" s="85"/>
      <c r="V38" s="92"/>
    </row>
    <row r="39" spans="1:33" s="70" customFormat="1" ht="15.6">
      <c r="V39" s="85"/>
    </row>
    <row r="40" spans="1:33" ht="15.6">
      <c r="A40" s="80" t="s">
        <v>49</v>
      </c>
      <c r="B40" s="95"/>
      <c r="C40" s="82"/>
      <c r="D40" s="171"/>
      <c r="E40" s="171"/>
      <c r="F40" s="171"/>
      <c r="G40" s="171"/>
      <c r="H40" s="171"/>
      <c r="I40" s="83"/>
      <c r="J40" s="83"/>
      <c r="K40" s="83"/>
      <c r="L40" s="83"/>
      <c r="M40" s="83"/>
      <c r="N40" s="83"/>
      <c r="O40" s="83"/>
      <c r="P40" s="82"/>
      <c r="Q40" s="82"/>
      <c r="R40" s="82"/>
      <c r="S40" s="171"/>
      <c r="T40" s="84"/>
      <c r="U40" s="172"/>
      <c r="V40" s="171"/>
      <c r="W40" s="171"/>
      <c r="X40" s="171"/>
      <c r="Y40" s="171"/>
      <c r="Z40" s="171"/>
      <c r="AA40" s="171"/>
      <c r="AB40" s="171"/>
      <c r="AC40" s="171"/>
      <c r="AD40" s="171"/>
      <c r="AE40" s="171"/>
      <c r="AF40" s="171"/>
      <c r="AG40" s="171"/>
    </row>
    <row r="41" spans="1:33" ht="15.6">
      <c r="A41" s="96" t="s">
        <v>27</v>
      </c>
      <c r="B41" s="97" t="s">
        <v>50</v>
      </c>
      <c r="C41" s="38" t="s">
        <v>51</v>
      </c>
      <c r="D41" s="83"/>
      <c r="E41" s="83"/>
      <c r="F41" s="171"/>
      <c r="G41" s="171"/>
      <c r="H41" s="171"/>
      <c r="I41" s="83"/>
      <c r="J41" s="83"/>
      <c r="K41" s="83"/>
      <c r="L41" s="83"/>
      <c r="M41" s="83"/>
      <c r="N41" s="83"/>
      <c r="O41" s="83"/>
      <c r="P41" s="82"/>
      <c r="Q41" s="82"/>
      <c r="R41" s="82"/>
      <c r="S41" s="171"/>
      <c r="T41" s="84"/>
      <c r="U41" s="172"/>
      <c r="V41" s="171"/>
      <c r="W41" s="171"/>
      <c r="X41" s="171"/>
      <c r="Y41" s="171"/>
      <c r="Z41" s="171"/>
      <c r="AA41" s="171"/>
      <c r="AB41" s="171"/>
      <c r="AC41" s="171"/>
      <c r="AD41" s="171"/>
      <c r="AE41" s="171"/>
      <c r="AF41" s="171"/>
      <c r="AG41" s="171"/>
    </row>
    <row r="42" spans="1:33" ht="15.6">
      <c r="A42" s="74" t="s">
        <v>52</v>
      </c>
      <c r="B42" s="98">
        <v>2000</v>
      </c>
      <c r="C42" s="85" t="s">
        <v>53</v>
      </c>
      <c r="D42" s="83"/>
      <c r="E42" s="83"/>
      <c r="F42" s="171"/>
      <c r="G42" s="171"/>
      <c r="H42" s="171"/>
      <c r="I42" s="83"/>
      <c r="J42" s="83"/>
      <c r="K42" s="83"/>
      <c r="L42" s="83"/>
      <c r="M42" s="83"/>
      <c r="N42" s="83"/>
      <c r="O42" s="83"/>
      <c r="P42" s="82"/>
      <c r="Q42" s="82"/>
      <c r="R42" s="82"/>
      <c r="S42" s="171"/>
      <c r="T42" s="84"/>
      <c r="U42" s="172"/>
      <c r="V42" s="171"/>
      <c r="W42" s="171"/>
      <c r="X42" s="171"/>
      <c r="Y42" s="171"/>
      <c r="Z42" s="171"/>
      <c r="AA42" s="171"/>
      <c r="AB42" s="171"/>
      <c r="AC42" s="171"/>
      <c r="AD42" s="171"/>
      <c r="AE42" s="171"/>
      <c r="AF42" s="171"/>
      <c r="AG42" s="171"/>
    </row>
    <row r="43" spans="1:33" ht="15.6">
      <c r="A43" s="70" t="s">
        <v>54</v>
      </c>
      <c r="B43" s="98">
        <v>5000</v>
      </c>
      <c r="C43" s="70" t="s">
        <v>55</v>
      </c>
      <c r="D43" s="83"/>
      <c r="E43" s="83"/>
      <c r="F43" s="99"/>
      <c r="G43" s="83"/>
      <c r="H43" s="83"/>
      <c r="I43" s="83"/>
      <c r="J43" s="83"/>
      <c r="K43" s="83"/>
      <c r="L43" s="83"/>
      <c r="M43" s="83"/>
      <c r="N43" s="83"/>
      <c r="O43" s="83"/>
      <c r="P43" s="82"/>
      <c r="Q43" s="82"/>
      <c r="R43" s="82"/>
      <c r="S43" s="171"/>
      <c r="T43" s="84"/>
      <c r="U43" s="172"/>
      <c r="V43" s="171"/>
      <c r="W43" s="171"/>
      <c r="X43" s="171"/>
      <c r="Y43" s="171"/>
      <c r="Z43" s="171"/>
      <c r="AA43" s="171"/>
      <c r="AB43" s="171"/>
      <c r="AC43" s="171"/>
      <c r="AD43" s="171"/>
      <c r="AE43" s="171"/>
      <c r="AF43" s="171"/>
      <c r="AG43" s="171"/>
    </row>
    <row r="44" spans="1:33" ht="15.6">
      <c r="A44" s="70" t="s">
        <v>56</v>
      </c>
      <c r="B44" s="98">
        <v>14000</v>
      </c>
      <c r="C44" s="70" t="s">
        <v>57</v>
      </c>
      <c r="D44" s="83"/>
      <c r="E44" s="83"/>
      <c r="F44" s="99"/>
      <c r="G44" s="83"/>
      <c r="H44" s="83"/>
      <c r="I44" s="83"/>
      <c r="J44" s="83"/>
      <c r="K44" s="83"/>
      <c r="L44" s="83"/>
      <c r="M44" s="83"/>
      <c r="N44" s="83"/>
      <c r="O44" s="83"/>
      <c r="P44" s="82"/>
      <c r="Q44" s="82"/>
      <c r="R44" s="82"/>
      <c r="S44" s="171"/>
      <c r="T44" s="84"/>
      <c r="U44" s="172"/>
      <c r="V44" s="171"/>
      <c r="W44" s="171"/>
      <c r="X44" s="171"/>
      <c r="Y44" s="171"/>
      <c r="Z44" s="171"/>
      <c r="AA44" s="171"/>
      <c r="AB44" s="171"/>
      <c r="AC44" s="171"/>
      <c r="AD44" s="171"/>
      <c r="AE44" s="171"/>
      <c r="AF44" s="171"/>
      <c r="AG44" s="171"/>
    </row>
    <row r="45" spans="1:33" ht="15.6">
      <c r="A45" s="70" t="s">
        <v>58</v>
      </c>
      <c r="B45" s="98">
        <v>3500</v>
      </c>
      <c r="C45" s="70" t="s">
        <v>59</v>
      </c>
      <c r="D45" s="83"/>
      <c r="E45" s="83"/>
      <c r="F45" s="99"/>
      <c r="G45" s="83"/>
      <c r="H45" s="83"/>
      <c r="I45" s="83"/>
      <c r="J45" s="83"/>
      <c r="K45" s="83"/>
      <c r="L45" s="83"/>
      <c r="M45" s="83"/>
      <c r="N45" s="83"/>
      <c r="O45" s="83"/>
      <c r="P45" s="82"/>
      <c r="Q45" s="82"/>
      <c r="R45" s="82"/>
      <c r="S45" s="171"/>
      <c r="T45" s="84"/>
      <c r="U45" s="172"/>
      <c r="V45" s="171"/>
      <c r="W45" s="171"/>
      <c r="X45" s="171"/>
      <c r="Y45" s="171"/>
      <c r="Z45" s="171"/>
      <c r="AA45" s="171"/>
      <c r="AB45" s="171"/>
      <c r="AC45" s="171"/>
      <c r="AD45" s="171"/>
      <c r="AE45" s="171"/>
      <c r="AF45" s="171"/>
      <c r="AG45" s="171"/>
    </row>
    <row r="46" spans="1:33" ht="15.6">
      <c r="A46" s="70" t="s">
        <v>60</v>
      </c>
      <c r="B46" s="98">
        <v>35000</v>
      </c>
      <c r="C46" s="70" t="s">
        <v>61</v>
      </c>
      <c r="D46" s="83"/>
      <c r="E46" s="83"/>
      <c r="F46" s="99"/>
      <c r="G46" s="83"/>
      <c r="H46" s="83"/>
      <c r="I46" s="83"/>
      <c r="J46" s="83"/>
      <c r="K46" s="83"/>
      <c r="L46" s="83"/>
      <c r="M46" s="83"/>
      <c r="N46" s="83"/>
      <c r="O46" s="83"/>
      <c r="P46" s="82"/>
      <c r="Q46" s="82"/>
      <c r="R46" s="82"/>
      <c r="S46" s="171"/>
      <c r="T46" s="84"/>
      <c r="U46" s="172"/>
      <c r="V46" s="171"/>
      <c r="W46" s="171"/>
      <c r="X46" s="171"/>
      <c r="Y46" s="171"/>
      <c r="Z46" s="171"/>
      <c r="AA46" s="171"/>
      <c r="AB46" s="171"/>
      <c r="AC46" s="171"/>
      <c r="AD46" s="171"/>
      <c r="AE46" s="171"/>
      <c r="AF46" s="171"/>
      <c r="AG46" s="171"/>
    </row>
    <row r="47" spans="1:33" ht="15.6">
      <c r="A47" s="70" t="s">
        <v>62</v>
      </c>
      <c r="B47" s="98">
        <v>7400</v>
      </c>
      <c r="C47" s="99" t="s">
        <v>63</v>
      </c>
      <c r="D47" s="83"/>
      <c r="E47" s="83"/>
      <c r="F47" s="99"/>
      <c r="G47" s="83"/>
      <c r="H47" s="83"/>
      <c r="I47" s="83"/>
      <c r="J47" s="83"/>
      <c r="K47" s="83"/>
      <c r="L47" s="83"/>
      <c r="M47" s="83"/>
      <c r="N47" s="83"/>
      <c r="O47" s="83"/>
      <c r="P47" s="82"/>
      <c r="Q47" s="82"/>
      <c r="R47" s="82"/>
      <c r="S47" s="171"/>
      <c r="T47" s="84"/>
      <c r="U47" s="172"/>
      <c r="V47" s="171"/>
      <c r="W47" s="171"/>
      <c r="X47" s="171"/>
      <c r="Y47" s="171"/>
      <c r="Z47" s="171"/>
      <c r="AA47" s="171"/>
      <c r="AB47" s="171"/>
      <c r="AC47" s="171"/>
      <c r="AD47" s="171"/>
      <c r="AE47" s="171"/>
      <c r="AF47" s="171"/>
      <c r="AG47" s="171"/>
    </row>
    <row r="48" spans="1:33" ht="15.6">
      <c r="A48" s="70" t="s">
        <v>64</v>
      </c>
      <c r="B48" s="98">
        <v>7000</v>
      </c>
      <c r="C48" s="99" t="s">
        <v>63</v>
      </c>
      <c r="D48" s="83"/>
      <c r="E48" s="83"/>
      <c r="F48" s="99"/>
      <c r="G48" s="83"/>
      <c r="H48" s="83"/>
      <c r="I48" s="83"/>
      <c r="J48" s="83"/>
      <c r="K48" s="83"/>
      <c r="L48" s="83"/>
      <c r="M48" s="83"/>
      <c r="N48" s="83"/>
      <c r="O48" s="83"/>
      <c r="P48" s="82"/>
      <c r="Q48" s="82"/>
      <c r="R48" s="82"/>
      <c r="S48" s="171"/>
      <c r="T48" s="84"/>
      <c r="U48" s="172"/>
      <c r="V48" s="171"/>
      <c r="W48" s="171"/>
      <c r="X48" s="171"/>
      <c r="Y48" s="171"/>
      <c r="Z48" s="171"/>
      <c r="AA48" s="171"/>
      <c r="AB48" s="171"/>
      <c r="AC48" s="171"/>
      <c r="AD48" s="171"/>
      <c r="AE48" s="171"/>
      <c r="AF48" s="171"/>
      <c r="AG48" s="171"/>
    </row>
    <row r="49" spans="1:33" ht="15.6">
      <c r="A49" s="74" t="s">
        <v>65</v>
      </c>
      <c r="B49" s="79">
        <v>10500</v>
      </c>
      <c r="C49" s="99" t="s">
        <v>66</v>
      </c>
      <c r="D49" s="83"/>
      <c r="E49" s="83"/>
      <c r="F49" s="99"/>
      <c r="G49" s="83"/>
      <c r="H49" s="83"/>
      <c r="I49" s="83"/>
      <c r="J49" s="83"/>
      <c r="K49" s="83"/>
      <c r="L49" s="83"/>
      <c r="M49" s="83"/>
      <c r="N49" s="83"/>
      <c r="O49" s="83"/>
      <c r="P49" s="82"/>
      <c r="Q49" s="82"/>
      <c r="R49" s="82"/>
      <c r="S49" s="171"/>
      <c r="T49" s="84"/>
      <c r="U49" s="172"/>
      <c r="V49" s="171"/>
      <c r="W49" s="171"/>
      <c r="X49" s="171"/>
      <c r="Y49" s="171"/>
      <c r="Z49" s="171"/>
      <c r="AA49" s="171"/>
      <c r="AB49" s="171"/>
      <c r="AC49" s="171"/>
      <c r="AD49" s="171"/>
      <c r="AE49" s="171"/>
      <c r="AF49" s="171"/>
      <c r="AG49" s="171"/>
    </row>
    <row r="50" spans="1:33" ht="15.6">
      <c r="A50" s="70"/>
      <c r="B50" s="70"/>
      <c r="C50" s="82"/>
      <c r="D50" s="74"/>
      <c r="E50" s="79"/>
      <c r="F50" s="99"/>
      <c r="G50" s="83"/>
      <c r="H50" s="83"/>
      <c r="I50" s="83"/>
      <c r="J50" s="83"/>
      <c r="K50" s="83"/>
      <c r="L50" s="83"/>
      <c r="M50" s="83"/>
      <c r="N50" s="83"/>
      <c r="O50" s="83"/>
      <c r="P50" s="82"/>
      <c r="Q50" s="82"/>
      <c r="R50" s="82"/>
      <c r="S50" s="171"/>
      <c r="T50" s="84"/>
      <c r="U50" s="172"/>
      <c r="V50" s="171"/>
      <c r="W50" s="171"/>
      <c r="X50" s="171"/>
      <c r="Y50" s="171"/>
      <c r="Z50" s="171"/>
      <c r="AA50" s="171"/>
      <c r="AB50" s="171"/>
      <c r="AC50" s="171"/>
      <c r="AD50" s="171"/>
      <c r="AE50" s="171"/>
      <c r="AF50" s="171"/>
      <c r="AG50" s="171"/>
    </row>
    <row r="51" spans="1:33" ht="15.6">
      <c r="A51" s="100" t="s">
        <v>67</v>
      </c>
      <c r="B51" s="101" t="s">
        <v>50</v>
      </c>
      <c r="C51" s="102" t="s">
        <v>68</v>
      </c>
      <c r="D51" s="83"/>
      <c r="E51" s="83"/>
      <c r="F51" s="83"/>
      <c r="G51" s="82"/>
      <c r="H51" s="82"/>
      <c r="I51" s="83"/>
      <c r="J51" s="83"/>
      <c r="K51" s="83"/>
      <c r="L51" s="83"/>
      <c r="M51" s="83"/>
      <c r="N51" s="83"/>
      <c r="O51" s="83"/>
      <c r="P51" s="82"/>
      <c r="Q51" s="82"/>
      <c r="R51" s="82"/>
      <c r="S51" s="171"/>
      <c r="T51" s="84"/>
      <c r="U51" s="172"/>
      <c r="V51" s="171"/>
      <c r="W51" s="171"/>
      <c r="X51" s="171"/>
      <c r="Y51" s="171"/>
      <c r="Z51" s="171"/>
      <c r="AA51" s="171"/>
      <c r="AB51" s="171"/>
      <c r="AC51" s="171"/>
      <c r="AD51" s="171"/>
      <c r="AE51" s="171"/>
      <c r="AF51" s="171"/>
      <c r="AG51" s="171"/>
    </row>
    <row r="52" spans="1:33" ht="15.6">
      <c r="A52" s="103" t="s">
        <v>85</v>
      </c>
      <c r="B52" s="104">
        <v>3800</v>
      </c>
      <c r="C52" s="70" t="s">
        <v>86</v>
      </c>
      <c r="D52" s="83"/>
      <c r="E52" s="83"/>
      <c r="F52" s="83"/>
      <c r="G52" s="82"/>
      <c r="H52" s="82"/>
      <c r="I52" s="83"/>
      <c r="J52" s="83"/>
      <c r="K52" s="83"/>
      <c r="L52" s="83"/>
      <c r="M52" s="83"/>
      <c r="N52" s="83"/>
      <c r="O52" s="83"/>
      <c r="P52" s="82"/>
      <c r="Q52" s="82"/>
      <c r="R52" s="82"/>
      <c r="S52" s="171"/>
      <c r="T52" s="84"/>
      <c r="U52" s="172"/>
      <c r="V52" s="171"/>
      <c r="W52" s="171"/>
      <c r="X52" s="171"/>
      <c r="Y52" s="171"/>
      <c r="Z52" s="171"/>
      <c r="AA52" s="171"/>
      <c r="AB52" s="171"/>
      <c r="AC52" s="171"/>
      <c r="AD52" s="171"/>
      <c r="AE52" s="171"/>
      <c r="AF52" s="171"/>
      <c r="AG52" s="171"/>
    </row>
    <row r="53" spans="1:33" ht="15.6">
      <c r="A53" s="105" t="s">
        <v>87</v>
      </c>
      <c r="B53" s="106" t="s">
        <v>72</v>
      </c>
      <c r="C53" s="70" t="s">
        <v>88</v>
      </c>
      <c r="D53" s="83"/>
      <c r="E53" s="83"/>
      <c r="F53" s="83"/>
      <c r="G53" s="82"/>
      <c r="H53" s="82"/>
      <c r="I53" s="83"/>
      <c r="J53" s="83"/>
      <c r="K53" s="83"/>
      <c r="L53" s="83"/>
      <c r="M53" s="83"/>
      <c r="N53" s="83"/>
      <c r="O53" s="83"/>
      <c r="P53" s="82"/>
      <c r="Q53" s="82"/>
      <c r="R53" s="82"/>
      <c r="S53" s="171"/>
      <c r="T53" s="84"/>
      <c r="U53" s="172"/>
      <c r="V53" s="171"/>
      <c r="W53" s="171"/>
      <c r="X53" s="171"/>
      <c r="Y53" s="171"/>
      <c r="Z53" s="171"/>
      <c r="AA53" s="171"/>
      <c r="AB53" s="171"/>
      <c r="AC53" s="171"/>
      <c r="AD53" s="171"/>
      <c r="AE53" s="171"/>
      <c r="AF53" s="171"/>
      <c r="AG53" s="171"/>
    </row>
  </sheetData>
  <sheetProtection sheet="1" objects="1" scenarios="1"/>
  <protectedRanges>
    <protectedRange sqref="B8:E8" name="Select a Service"/>
    <protectedRange sqref="B21 B23:B25" name="Assumptions"/>
  </protectedRanges>
  <mergeCells count="19">
    <mergeCell ref="A37:B37"/>
    <mergeCell ref="A17:J17"/>
    <mergeCell ref="A34:B34"/>
    <mergeCell ref="C34:U34"/>
    <mergeCell ref="A35:B35"/>
    <mergeCell ref="A36:B36"/>
    <mergeCell ref="A30:B30"/>
    <mergeCell ref="A31:B31"/>
    <mergeCell ref="A32:B32"/>
    <mergeCell ref="A13:J13"/>
    <mergeCell ref="A15:J15"/>
    <mergeCell ref="A19:B19"/>
    <mergeCell ref="A27:U28"/>
    <mergeCell ref="A29:B29"/>
    <mergeCell ref="A2:J2"/>
    <mergeCell ref="A4:J4"/>
    <mergeCell ref="A6:E6"/>
    <mergeCell ref="B8:E8"/>
    <mergeCell ref="A9:J9"/>
  </mergeCells>
  <conditionalFormatting sqref="D37:U37">
    <cfRule type="cellIs" dxfId="0" priority="1" operator="greaterThan">
      <formula>$B$22</formula>
    </cfRule>
  </conditionalFormatting>
  <dataValidations count="1">
    <dataValidation type="list" allowBlank="1" showInputMessage="1" showErrorMessage="1" sqref="B8" xr:uid="{1240C365-1B45-475C-A67D-EF25DCA4EB9A}">
      <formula1>$A$41:$A$49</formula1>
    </dataValidation>
  </dataValidations>
  <hyperlinks>
    <hyperlink ref="A52" r:id="rId1" xr:uid="{58F1DE21-C9CF-4F61-94AA-2C4A6DAEDE3E}"/>
    <hyperlink ref="A53" r:id="rId2" xr:uid="{4BD61CE1-5041-4C94-9EAA-AFC1E87D08C3}"/>
  </hyperlinks>
  <pageMargins left="0.7" right="0.7" top="0.75" bottom="0.75" header="0.3" footer="0.3"/>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1FCA-6BFD-44C6-8309-C2B23ADF3A46}">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5A27A9B4ABC14A9CA33DF99CA81268" ma:contentTypeVersion="13" ma:contentTypeDescription="Create a new document." ma:contentTypeScope="" ma:versionID="7cf03ce2361dad98c9b41fe56a0bcc03">
  <xsd:schema xmlns:xsd="http://www.w3.org/2001/XMLSchema" xmlns:xs="http://www.w3.org/2001/XMLSchema" xmlns:p="http://schemas.microsoft.com/office/2006/metadata/properties" xmlns:ns2="86bfd048-c9f3-4de3-aeb3-27a8e04913d0" xmlns:ns3="45d1162f-04cb-4dd2-9e14-041c74d5bb0c" targetNamespace="http://schemas.microsoft.com/office/2006/metadata/properties" ma:root="true" ma:fieldsID="d1ffff000bcc4324e2e5380908f1a924" ns2:_="" ns3:_="">
    <xsd:import namespace="86bfd048-c9f3-4de3-aeb3-27a8e04913d0"/>
    <xsd:import namespace="45d1162f-04cb-4dd2-9e14-041c74d5bb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bfd048-c9f3-4de3-aeb3-27a8e04913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fa456-7431-438b-a831-353138f4174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d1162f-04cb-4dd2-9e14-041c74d5bb0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09f016d-790d-482c-99d3-e32aa3fa8c2e}" ma:internalName="TaxCatchAll" ma:showField="CatchAllData" ma:web="45d1162f-04cb-4dd2-9e14-041c74d5bb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5d1162f-04cb-4dd2-9e14-041c74d5bb0c" xsi:nil="true"/>
    <lcf76f155ced4ddcb4097134ff3c332f xmlns="86bfd048-c9f3-4de3-aeb3-27a8e04913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91E3141-7775-4AB1-B860-FC83457113CE}"/>
</file>

<file path=customXml/itemProps2.xml><?xml version="1.0" encoding="utf-8"?>
<ds:datastoreItem xmlns:ds="http://schemas.openxmlformats.org/officeDocument/2006/customXml" ds:itemID="{5A0BB440-C9C9-41CB-A5D6-F3CFF6D84C49}"/>
</file>

<file path=customXml/itemProps3.xml><?xml version="1.0" encoding="utf-8"?>
<ds:datastoreItem xmlns:ds="http://schemas.openxmlformats.org/officeDocument/2006/customXml" ds:itemID="{5A72B2C0-C381-4E92-B429-84DAC7D8534F}"/>
</file>

<file path=docProps/app.xml><?xml version="1.0" encoding="utf-8"?>
<Properties xmlns="http://schemas.openxmlformats.org/officeDocument/2006/extended-properties" xmlns:vt="http://schemas.openxmlformats.org/officeDocument/2006/docPropsVTypes">
  <Application>Microsoft Excel Online</Application>
  <Manager/>
  <Company>Self Esteem Brands,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Campbell</dc:creator>
  <cp:keywords/>
  <dc:description/>
  <cp:lastModifiedBy>Caitie Hones Menke</cp:lastModifiedBy>
  <cp:revision/>
  <dcterms:created xsi:type="dcterms:W3CDTF">2023-10-17T21:17:23Z</dcterms:created>
  <dcterms:modified xsi:type="dcterms:W3CDTF">2026-05-21T17:36:32Z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e54f6-8de3-4dc1-8de2-3571ff8ef8ed_Enabled">
    <vt:lpwstr>true</vt:lpwstr>
  </property>
  <property fmtid="{D5CDD505-2E9C-101B-9397-08002B2CF9AE}" pid="3" name="MSIP_Label_c19e54f6-8de3-4dc1-8de2-3571ff8ef8ed_SetDate">
    <vt:lpwstr>2025-03-18T19:01:26Z</vt:lpwstr>
  </property>
  <property fmtid="{D5CDD505-2E9C-101B-9397-08002B2CF9AE}" pid="4" name="MSIP_Label_c19e54f6-8de3-4dc1-8de2-3571ff8ef8ed_Method">
    <vt:lpwstr>Standard</vt:lpwstr>
  </property>
  <property fmtid="{D5CDD505-2E9C-101B-9397-08002B2CF9AE}" pid="5" name="MSIP_Label_c19e54f6-8de3-4dc1-8de2-3571ff8ef8ed_Name">
    <vt:lpwstr>defa4170-0d19-0005-0004-bc88714345d2</vt:lpwstr>
  </property>
  <property fmtid="{D5CDD505-2E9C-101B-9397-08002B2CF9AE}" pid="6" name="MSIP_Label_c19e54f6-8de3-4dc1-8de2-3571ff8ef8ed_SiteId">
    <vt:lpwstr>e5f9f875-abc1-48a7-b869-6562628fb58c</vt:lpwstr>
  </property>
  <property fmtid="{D5CDD505-2E9C-101B-9397-08002B2CF9AE}" pid="7" name="MSIP_Label_c19e54f6-8de3-4dc1-8de2-3571ff8ef8ed_ActionId">
    <vt:lpwstr>b3bcebe9-8a93-4faa-8455-61b103925b16</vt:lpwstr>
  </property>
  <property fmtid="{D5CDD505-2E9C-101B-9397-08002B2CF9AE}" pid="8" name="MSIP_Label_c19e54f6-8de3-4dc1-8de2-3571ff8ef8ed_ContentBits">
    <vt:lpwstr>0</vt:lpwstr>
  </property>
  <property fmtid="{D5CDD505-2E9C-101B-9397-08002B2CF9AE}" pid="9" name="MSIP_Label_c19e54f6-8de3-4dc1-8de2-3571ff8ef8ed_Tag">
    <vt:lpwstr>10, 3, 0, 1</vt:lpwstr>
  </property>
  <property fmtid="{D5CDD505-2E9C-101B-9397-08002B2CF9AE}" pid="10" name="ContentTypeId">
    <vt:lpwstr>0x0101005B5A27A9B4ABC14A9CA33DF99CA81268</vt:lpwstr>
  </property>
  <property fmtid="{D5CDD505-2E9C-101B-9397-08002B2CF9AE}" pid="11" name="MediaServiceImageTags">
    <vt:lpwstr/>
  </property>
</Properties>
</file>