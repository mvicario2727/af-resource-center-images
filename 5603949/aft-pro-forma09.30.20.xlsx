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comments3.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527"/>
  <workbookPr showInkAnnotation="0" autoCompressPictures="0"/>
  <mc:AlternateContent xmlns:mc="http://schemas.openxmlformats.org/markup-compatibility/2006">
    <mc:Choice Requires="x15">
      <x15ac:absPath xmlns:x15ac="http://schemas.microsoft.com/office/spreadsheetml/2010/11/ac" url="https://sebrands.sharepoint.com/sites/AnytimeFitness/Shared Documents/FBC/FBC/Field Consultants/Chance Heare/AF Training Workshop - Corp/"/>
    </mc:Choice>
  </mc:AlternateContent>
  <xr:revisionPtr revIDLastSave="0" documentId="8_{2AD6B752-DD48-46C6-B26A-557C55921524}" xr6:coauthVersionLast="45" xr6:coauthVersionMax="45" xr10:uidLastSave="{00000000-0000-0000-0000-000000000000}"/>
  <bookViews>
    <workbookView xWindow="28680" yWindow="-120" windowWidth="29040" windowHeight="15840" xr2:uid="{00000000-000D-0000-FFFF-FFFF00000000}"/>
  </bookViews>
  <sheets>
    <sheet name="Coaching Proforma" sheetId="18" r:id="rId1"/>
    <sheet name="Small Group KPIs" sheetId="20" r:id="rId2"/>
    <sheet name="Team Training KPIs" sheetId="21"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9" i="18" l="1"/>
  <c r="L9" i="18"/>
  <c r="M9" i="18"/>
  <c r="N9" i="18"/>
  <c r="J9" i="18"/>
  <c r="L7" i="21"/>
  <c r="L7" i="20"/>
  <c r="F3" i="21"/>
  <c r="I21" i="18" l="1"/>
  <c r="E9" i="18" l="1"/>
  <c r="H5" i="18" l="1"/>
  <c r="E26" i="18"/>
  <c r="D26" i="18"/>
  <c r="F21" i="18"/>
  <c r="L21" i="18"/>
  <c r="A3" i="21"/>
  <c r="B3" i="21" s="1"/>
  <c r="K7" i="21" s="1"/>
  <c r="M7" i="21" s="1"/>
  <c r="C27" i="21"/>
  <c r="F27" i="21" s="1"/>
  <c r="C23" i="21"/>
  <c r="F23" i="21" s="1"/>
  <c r="C19" i="21"/>
  <c r="F19" i="21" s="1"/>
  <c r="C15" i="21"/>
  <c r="F15" i="21" s="1"/>
  <c r="C11" i="21"/>
  <c r="F11" i="21" s="1"/>
  <c r="C7" i="21"/>
  <c r="F7" i="21" s="1"/>
  <c r="C27" i="20"/>
  <c r="C23" i="20"/>
  <c r="C19" i="20"/>
  <c r="C15" i="20"/>
  <c r="F15" i="20" s="1"/>
  <c r="C11" i="20"/>
  <c r="F11" i="20" s="1"/>
  <c r="C7" i="20"/>
  <c r="F7" i="20" s="1"/>
  <c r="F3" i="20"/>
  <c r="A3" i="20"/>
  <c r="B3" i="20" s="1"/>
  <c r="K7" i="20" s="1"/>
  <c r="E28" i="18"/>
  <c r="D27" i="18"/>
  <c r="E27" i="18"/>
  <c r="E29" i="18"/>
  <c r="E25" i="18"/>
  <c r="D28" i="18"/>
  <c r="D29" i="18"/>
  <c r="D25" i="18"/>
  <c r="C26" i="18"/>
  <c r="C27" i="18"/>
  <c r="C28" i="18"/>
  <c r="C29" i="18"/>
  <c r="C25" i="18"/>
  <c r="H17" i="18"/>
  <c r="K17" i="18"/>
  <c r="D9" i="18"/>
  <c r="F19" i="20" l="1"/>
  <c r="J19" i="20" s="1"/>
  <c r="K23" i="20" s="1"/>
  <c r="M23" i="20" s="1"/>
  <c r="F23" i="20"/>
  <c r="J23" i="20" s="1"/>
  <c r="K27" i="20" s="1"/>
  <c r="M27" i="20" s="1"/>
  <c r="F27" i="20"/>
  <c r="H27" i="20" s="1"/>
  <c r="N27" i="20" s="1"/>
  <c r="J11" i="21"/>
  <c r="K15" i="21" s="1"/>
  <c r="M15" i="21" s="1"/>
  <c r="H11" i="21"/>
  <c r="H15" i="21"/>
  <c r="J15" i="21"/>
  <c r="K19" i="21" s="1"/>
  <c r="M19" i="21" s="1"/>
  <c r="J19" i="21"/>
  <c r="K23" i="21" s="1"/>
  <c r="M23" i="21" s="1"/>
  <c r="H19" i="21"/>
  <c r="H23" i="21"/>
  <c r="J23" i="21"/>
  <c r="K27" i="21" s="1"/>
  <c r="M27" i="21" s="1"/>
  <c r="J7" i="21"/>
  <c r="K11" i="21" s="1"/>
  <c r="M11" i="21" s="1"/>
  <c r="H7" i="21"/>
  <c r="N7" i="21" s="1"/>
  <c r="J27" i="21"/>
  <c r="H27" i="21"/>
  <c r="I9" i="18"/>
  <c r="E3" i="20"/>
  <c r="M7" i="20" s="1"/>
  <c r="E3" i="21"/>
  <c r="G3" i="21" s="1"/>
  <c r="H23" i="20"/>
  <c r="H19" i="20"/>
  <c r="H15" i="20"/>
  <c r="J15" i="20"/>
  <c r="K19" i="20" s="1"/>
  <c r="M19" i="20" s="1"/>
  <c r="J11" i="20"/>
  <c r="K15" i="20" s="1"/>
  <c r="M15" i="20" s="1"/>
  <c r="H11" i="20"/>
  <c r="H7" i="20"/>
  <c r="J7" i="20"/>
  <c r="K11" i="20" s="1"/>
  <c r="M11" i="20" s="1"/>
  <c r="N23" i="21" l="1"/>
  <c r="N19" i="21"/>
  <c r="J27" i="20"/>
  <c r="N23" i="20"/>
  <c r="N15" i="21"/>
  <c r="N27" i="21"/>
  <c r="P7" i="21"/>
  <c r="O7" i="21"/>
  <c r="N11" i="21"/>
  <c r="O11" i="21" s="1"/>
  <c r="N11" i="20"/>
  <c r="N15" i="20"/>
  <c r="N19" i="20"/>
  <c r="G3" i="20"/>
  <c r="N7" i="20"/>
  <c r="P11" i="21" l="1"/>
  <c r="O15" i="21"/>
  <c r="P7" i="20"/>
  <c r="O7" i="20"/>
  <c r="O11" i="20"/>
  <c r="O15" i="20" s="1"/>
  <c r="P15" i="21" l="1"/>
  <c r="O19" i="21"/>
  <c r="P11" i="20"/>
  <c r="P15" i="20"/>
  <c r="O19" i="20"/>
  <c r="P19" i="21" l="1"/>
  <c r="O23" i="21"/>
  <c r="P19" i="20"/>
  <c r="O23" i="20"/>
  <c r="P23" i="21" l="1"/>
  <c r="O27" i="21"/>
  <c r="P27" i="21" s="1"/>
  <c r="P23" i="20"/>
  <c r="O27" i="20"/>
  <c r="P27" i="20" s="1"/>
  <c r="N17" i="18" l="1"/>
  <c r="N18" i="18"/>
  <c r="N19" i="18"/>
  <c r="N20" i="18"/>
  <c r="K18" i="18"/>
  <c r="K19" i="18"/>
  <c r="K20" i="18"/>
  <c r="E17" i="18"/>
  <c r="E18" i="18"/>
  <c r="E19" i="18"/>
  <c r="E20" i="18"/>
  <c r="H18" i="18"/>
  <c r="H19" i="18"/>
  <c r="H20" i="18"/>
  <c r="N16" i="18"/>
  <c r="K16" i="18"/>
  <c r="H16" i="18"/>
  <c r="E16" i="18"/>
  <c r="F5" i="18"/>
  <c r="E8" i="18" l="1"/>
  <c r="I5" i="18" l="1"/>
  <c r="L25" i="18"/>
  <c r="L28" i="18"/>
  <c r="H28" i="18" s="1"/>
  <c r="J28" i="18" s="1"/>
  <c r="K28" i="18" s="1"/>
  <c r="L29" i="18"/>
  <c r="H29" i="18" s="1"/>
  <c r="J29" i="18" s="1"/>
  <c r="M29" i="18" s="1"/>
  <c r="N29" i="18" s="1"/>
  <c r="L27" i="18"/>
  <c r="H27" i="18" s="1"/>
  <c r="J27" i="18" s="1"/>
  <c r="I27" i="18" s="1"/>
  <c r="L26" i="18"/>
  <c r="H26" i="18" s="1"/>
  <c r="J26" i="18" s="1"/>
  <c r="I26" i="18" s="1"/>
  <c r="I29" i="18" l="1"/>
  <c r="K29" i="18"/>
  <c r="M27" i="18"/>
  <c r="N27" i="18" s="1"/>
  <c r="K27" i="18"/>
  <c r="M28" i="18"/>
  <c r="N28" i="18" s="1"/>
  <c r="I28" i="18"/>
  <c r="M26" i="18"/>
  <c r="N26" i="18" s="1"/>
  <c r="K26" i="18"/>
  <c r="G9" i="18"/>
  <c r="H25" i="18" l="1"/>
  <c r="J25" i="18" l="1"/>
  <c r="K25" i="18" l="1"/>
  <c r="I25" i="18"/>
  <c r="M25" i="18"/>
  <c r="M30" i="18" s="1"/>
  <c r="N25" i="18" l="1"/>
  <c r="H9" i="1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Rachel Southard</author>
  </authors>
  <commentList>
    <comment ref="D5" authorId="0" shapeId="0" xr:uid="{00000000-0006-0000-0000-000001000000}">
      <text>
        <r>
          <rPr>
            <sz val="9"/>
            <color indexed="81"/>
            <rFont val="Tahoma"/>
            <family val="2"/>
          </rPr>
          <t>How much open functional space do you have for training? This will determine which services you should offer, the capacity for each service and the recommended pricing.</t>
        </r>
      </text>
    </comment>
    <comment ref="B9" authorId="0" shapeId="0" xr:uid="{00000000-0006-0000-0000-000002000000}">
      <text>
        <r>
          <rPr>
            <sz val="9"/>
            <color indexed="81"/>
            <rFont val="Tahoma"/>
            <family val="2"/>
          </rPr>
          <t xml:space="preserve">Pricing recommendations are based on national averages. Please adjust according to your geographical location. </t>
        </r>
      </text>
    </comment>
    <comment ref="C15" authorId="0" shapeId="0" xr:uid="{00000000-0006-0000-0000-000003000000}">
      <text>
        <r>
          <rPr>
            <sz val="9"/>
            <color indexed="81"/>
            <rFont val="Tahoma"/>
            <family val="2"/>
          </rPr>
          <t xml:space="preserve">Enter the base hourly wage you pay your staff. </t>
        </r>
      </text>
    </comment>
    <comment ref="D15" authorId="0" shapeId="0" xr:uid="{00000000-0006-0000-0000-000004000000}">
      <text>
        <r>
          <rPr>
            <sz val="9"/>
            <color indexed="81"/>
            <rFont val="Tahoma"/>
            <family val="2"/>
          </rPr>
          <t>Enter the total hours your staff will work in your club each week.</t>
        </r>
        <r>
          <rPr>
            <b/>
            <sz val="9"/>
            <color indexed="81"/>
            <rFont val="Tahoma"/>
            <family val="2"/>
          </rPr>
          <t xml:space="preserve"> </t>
        </r>
      </text>
    </comment>
    <comment ref="F15" authorId="0" shapeId="0" xr:uid="{00000000-0006-0000-0000-000005000000}">
      <text>
        <r>
          <rPr>
            <sz val="9"/>
            <color indexed="81"/>
            <rFont val="Tahoma"/>
            <family val="2"/>
          </rPr>
          <t xml:space="preserve">Enter the amount you will pay your trainer ON TOP of the base hourly wage for each 60 min Personal Training session serviced. </t>
        </r>
      </text>
    </comment>
    <comment ref="G15" authorId="0" shapeId="0" xr:uid="{00000000-0006-0000-0000-000006000000}">
      <text>
        <r>
          <rPr>
            <sz val="9"/>
            <color indexed="81"/>
            <rFont val="Tahoma"/>
            <family val="2"/>
          </rPr>
          <t xml:space="preserve">Enter the number of 60 min Personal Training sessions trainer will service each week. </t>
        </r>
      </text>
    </comment>
    <comment ref="I15" authorId="0" shapeId="0" xr:uid="{00000000-0006-0000-0000-000007000000}">
      <text>
        <r>
          <rPr>
            <sz val="9"/>
            <color indexed="81"/>
            <rFont val="Tahoma"/>
            <family val="2"/>
          </rPr>
          <t xml:space="preserve">Enter the amount you will pay your trainer ON TOP of the base hourly wage for each 60 min Small Group Training session serviced. </t>
        </r>
      </text>
    </comment>
    <comment ref="J15" authorId="0" shapeId="0" xr:uid="{00000000-0006-0000-0000-000008000000}">
      <text>
        <r>
          <rPr>
            <sz val="9"/>
            <color indexed="81"/>
            <rFont val="Tahoma"/>
            <family val="2"/>
          </rPr>
          <t xml:space="preserve">Enter the number of 60 min Small Group Training sessions trainer will service each week. </t>
        </r>
      </text>
    </comment>
    <comment ref="L15" authorId="0" shapeId="0" xr:uid="{00000000-0006-0000-0000-000009000000}">
      <text>
        <r>
          <rPr>
            <sz val="9"/>
            <color indexed="81"/>
            <rFont val="Tahoma"/>
            <family val="2"/>
          </rPr>
          <t xml:space="preserve">Enter the amount you will pay your trainer ON TOP of the base hourly wage for each 60 min Group Training session serviced. </t>
        </r>
      </text>
    </comment>
    <comment ref="M15" authorId="0" shapeId="0" xr:uid="{00000000-0006-0000-0000-00000A000000}">
      <text>
        <r>
          <rPr>
            <sz val="9"/>
            <color indexed="81"/>
            <rFont val="Tahoma"/>
            <family val="2"/>
          </rPr>
          <t xml:space="preserve">Enter the number of 60 min GT sessions trainer will service each week. </t>
        </r>
      </text>
    </comment>
    <comment ref="F24" authorId="0" shapeId="0" xr:uid="{00000000-0006-0000-0000-00000B000000}">
      <text>
        <r>
          <rPr>
            <sz val="9"/>
            <color indexed="81"/>
            <rFont val="Tahoma"/>
            <family val="2"/>
          </rPr>
          <t xml:space="preserve">Enter the percentage commission you will pay trainers for their individual pt sales. </t>
        </r>
      </text>
    </comment>
    <comment ref="G24" authorId="0" shapeId="0" xr:uid="{00000000-0006-0000-0000-00000C000000}">
      <text>
        <r>
          <rPr>
            <sz val="9"/>
            <color indexed="81"/>
            <rFont val="Tahoma"/>
            <family val="2"/>
          </rPr>
          <t xml:space="preserve">Enter the percentage commission you will pay trainers for the total department sales. (usually reserved for MXM)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tc={D6B8D9CB-068B-4884-9449-3C54BE70091E}</author>
  </authors>
  <commentList>
    <comment ref="F3" authorId="0" shapeId="0" xr:uid="{D6B8D9CB-068B-4884-9449-3C54BE70091E}">
      <text>
        <t>[Threaded comment]
Your version of Excel allows you to read this threaded comment; however, any edits to it will get removed if the file is opened in a newer version of Excel. Learn more: https://go.microsoft.com/fwlink/?linkid=870924
Comment:
    Price per session at 2x per month</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tc={4C7AD934-F43F-4B4D-950A-AAC64168BD0A}</author>
  </authors>
  <commentList>
    <comment ref="F3" authorId="0" shapeId="0" xr:uid="{4C7AD934-F43F-4B4D-950A-AAC64168BD0A}">
      <text>
        <t>[Threaded comment]
Your version of Excel allows you to read this threaded comment; however, any edits to it will get removed if the file is opened in a newer version of Excel. Learn more: https://go.microsoft.com/fwlink/?linkid=870924
Comment:
    Price per session at 2x per month</t>
      </text>
    </comment>
  </commentList>
</comments>
</file>

<file path=xl/sharedStrings.xml><?xml version="1.0" encoding="utf-8"?>
<sst xmlns="http://schemas.openxmlformats.org/spreadsheetml/2006/main" count="295" uniqueCount="90">
  <si>
    <t>MXM</t>
  </si>
  <si>
    <t>“This proforma is being provided to you as a franchisee in the Anytime Fitness system.  It is intended as a tool to assist you in evaluating your personal training programming, however we make no warranty regarding any particular results or accuracy of the information herein.  Anytime Fitness, LLC does not provide or recommend revenue estimates or cost assumptions for your club, nor do we recommend particular compensation or other employment terms for your personnel.  Once you make your own assumptions, the proforma populates the various columns using your assumptions.  You may wish to consult with an accountant or other personal advisor to assist you in completing this proforma, and in analyzing any results produced.”</t>
  </si>
  <si>
    <t xml:space="preserve">Small Group Training </t>
  </si>
  <si>
    <t xml:space="preserve">Hourly Wage </t>
  </si>
  <si>
    <t>Coach 1</t>
  </si>
  <si>
    <t>Coach 2</t>
  </si>
  <si>
    <t>Coach 3</t>
  </si>
  <si>
    <t>Coach 4</t>
  </si>
  <si>
    <t xml:space="preserve">Individual Gross Percentage </t>
  </si>
  <si>
    <t xml:space="preserve">Department Gross Percentage </t>
  </si>
  <si>
    <t xml:space="preserve">Bonus/Commisions Pay </t>
  </si>
  <si>
    <t xml:space="preserve">Monthly </t>
  </si>
  <si>
    <t xml:space="preserve">Average Hourly </t>
  </si>
  <si>
    <t xml:space="preserve">SGT Compensation </t>
  </si>
  <si>
    <t>Base Compensation</t>
  </si>
  <si>
    <t>Shift</t>
  </si>
  <si>
    <t xml:space="preserve">Total Compensation </t>
  </si>
  <si>
    <t xml:space="preserve">Total Monthly </t>
  </si>
  <si>
    <t xml:space="preserve">Total Annual </t>
  </si>
  <si>
    <t>Commission Compensation</t>
  </si>
  <si>
    <t xml:space="preserve">Revenue </t>
  </si>
  <si>
    <t xml:space="preserve">Revenue Generated </t>
  </si>
  <si>
    <t xml:space="preserve">Pricing </t>
  </si>
  <si>
    <t xml:space="preserve">Payroll </t>
  </si>
  <si>
    <t xml:space="preserve">Gross Profit Margins </t>
  </si>
  <si>
    <t>Staff P&amp;L Summary</t>
  </si>
  <si>
    <t>Monthly Department P&amp;L Summary</t>
  </si>
  <si>
    <t>Annual Department P&amp;L Summary</t>
  </si>
  <si>
    <t xml:space="preserve">SGT Sessions Serviced </t>
  </si>
  <si>
    <t xml:space="preserve">Weekly </t>
  </si>
  <si>
    <t xml:space="preserve">Total  Hours </t>
  </si>
  <si>
    <t>Weekly</t>
  </si>
  <si>
    <t>Monthly</t>
  </si>
  <si>
    <t xml:space="preserve">Insert data into double red cells. </t>
  </si>
  <si>
    <t xml:space="preserve">Client Count </t>
  </si>
  <si>
    <t>*All sessions 60 minutes 
*4.3 weeks per month 
*2 visits per week average per client</t>
  </si>
  <si>
    <t>PT Clients</t>
  </si>
  <si>
    <t>SGT Clients</t>
  </si>
  <si>
    <t xml:space="preserve">FC Show % </t>
  </si>
  <si>
    <t xml:space="preserve">New Client Count </t>
  </si>
  <si>
    <t xml:space="preserve">Projected Draft Added </t>
  </si>
  <si>
    <t xml:space="preserve">Functional Space 
Square Footage </t>
  </si>
  <si>
    <t>SGT Session Compensation</t>
  </si>
  <si>
    <t xml:space="preserve">Paid Trial Cost </t>
  </si>
  <si>
    <t xml:space="preserve">Average Monthly New Members </t>
  </si>
  <si>
    <t xml:space="preserve">Paid Trials Count Goal </t>
  </si>
  <si>
    <t>Recommendations</t>
  </si>
  <si>
    <t>Weekly SGT Sessions</t>
  </si>
  <si>
    <t>AF Training Proforma</t>
  </si>
  <si>
    <t>Team Workouts</t>
  </si>
  <si>
    <t>Team Sessions Serviced</t>
  </si>
  <si>
    <t xml:space="preserve">Team Compensation </t>
  </si>
  <si>
    <t>Team Session Compensation</t>
  </si>
  <si>
    <t>Team Clients</t>
  </si>
  <si>
    <t xml:space="preserve">One-on-One Training </t>
  </si>
  <si>
    <t xml:space="preserve"> One-on-One
Compensation</t>
  </si>
  <si>
    <t>One-on-One Serviced</t>
  </si>
  <si>
    <t>One-on-One Compensation</t>
  </si>
  <si>
    <t xml:space="preserve">FCs @ POS % </t>
  </si>
  <si>
    <t>Percentage Capacity</t>
  </si>
  <si>
    <t>Actual Session size</t>
  </si>
  <si>
    <t xml:space="preserve">Long Term Agreement Close % </t>
  </si>
  <si>
    <t>New Long Term PT Agreements</t>
  </si>
  <si>
    <t>KPI Goal Month 1</t>
  </si>
  <si>
    <t>KPI Goal Month 2</t>
  </si>
  <si>
    <t>KPI Goal Month 3</t>
  </si>
  <si>
    <t>Launch Goals</t>
  </si>
  <si>
    <t>New Avg PT Month Package Value</t>
  </si>
  <si>
    <t>FC Booked at POS</t>
  </si>
  <si>
    <t>FC Show</t>
  </si>
  <si>
    <t>TE Agreement Close %</t>
  </si>
  <si>
    <t xml:space="preserve">TE Agreement </t>
  </si>
  <si>
    <t>Projected Draft Added</t>
  </si>
  <si>
    <t>Total Draft</t>
  </si>
  <si>
    <t>Launch TE to Long term PT %</t>
  </si>
  <si>
    <t>TE Closed to Long Term Agreement %</t>
  </si>
  <si>
    <t>TE Closed to Long Term Agreement</t>
  </si>
  <si>
    <t>% to goal</t>
  </si>
  <si>
    <t>KPI Goal Month 4</t>
  </si>
  <si>
    <t>KPI Goal Month 5</t>
  </si>
  <si>
    <t>KPI Goal Month 6</t>
  </si>
  <si>
    <t>Weekly Team Sessions</t>
  </si>
  <si>
    <t>Capacity Reccomendation</t>
  </si>
  <si>
    <t>Pricing Reccomendation</t>
  </si>
  <si>
    <t>% to revenue goal</t>
  </si>
  <si>
    <t>Floor Pulls</t>
  </si>
  <si>
    <t xml:space="preserve">Floor Pulls </t>
  </si>
  <si>
    <t>Current TEs</t>
  </si>
  <si>
    <t xml:space="preserve">Gross Profit </t>
  </si>
  <si>
    <t>Monthly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</si>
</sst>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8" formatCode="&quot;$&quot;#,##0.00_);[Red]\(&quot;$&quot;#,##0.00\)"/>
    <numFmt numFmtId="44" formatCode="_(&quot;$&quot;* #,##0.00_);_(&quot;$&quot;* \(#,##0.00\);_(&quot;$&quot;* &quot;-&quot;??_);_(@_)"/>
    <numFmt numFmtId="164" formatCode="&quot;$&quot;#,##0"/>
  </numFmts>
  <fonts count="21" x14ac:knownFonts="1">
    <font>
      <sz val="12"/>
      <color indexed="8"/>
      <name val="Verdana"/>
    </font>
    <font>
      <u/>
      <sz val="12"/>
      <color theme="10"/>
      <name val="Verdana"/>
      <family val="2"/>
    </font>
    <font>
      <u/>
      <sz val="12"/>
      <color theme="11"/>
      <name val="Verdana"/>
      <family val="2"/>
    </font>
    <font>
      <sz val="11"/>
      <color indexed="8"/>
      <name val="Calibri Light"/>
      <family val="2"/>
    </font>
    <font>
      <b/>
      <sz val="11"/>
      <color rgb="FF0070C0"/>
      <name val="Calibri Light"/>
      <family val="2"/>
    </font>
    <font>
      <b/>
      <sz val="11"/>
      <name val="Calibri Light"/>
      <family val="2"/>
    </font>
    <font>
      <sz val="11"/>
      <name val="Calibri Light"/>
      <family val="2"/>
    </font>
    <font>
      <b/>
      <sz val="11"/>
      <color rgb="FF006C31"/>
      <name val="Calibri Light"/>
      <family val="2"/>
    </font>
    <font>
      <sz val="11"/>
      <color theme="0"/>
      <name val="Calibri Light"/>
      <family val="2"/>
    </font>
    <font>
      <b/>
      <sz val="14"/>
      <color indexed="8"/>
      <name val="Calibri Light"/>
      <family val="2"/>
    </font>
    <font>
      <b/>
      <sz val="11"/>
      <color indexed="8"/>
      <name val="Calibri Light"/>
      <family val="2"/>
    </font>
    <font>
      <i/>
      <sz val="11"/>
      <color indexed="8"/>
      <name val="Calibri Light"/>
      <family val="2"/>
    </font>
    <font>
      <b/>
      <sz val="11"/>
      <color theme="0"/>
      <name val="Calibri Light"/>
      <family val="2"/>
    </font>
    <font>
      <sz val="9"/>
      <color indexed="81"/>
      <name val="Tahoma"/>
      <family val="2"/>
    </font>
    <font>
      <b/>
      <sz val="9"/>
      <color indexed="81"/>
      <name val="Tahoma"/>
      <family val="2"/>
    </font>
    <font>
      <i/>
      <sz val="9"/>
      <name val="Calibri Light"/>
      <family val="2"/>
    </font>
    <font>
      <sz val="11"/>
      <color rgb="FF1F497D"/>
      <name val="Calibri Light"/>
      <family val="2"/>
    </font>
    <font>
      <i/>
      <sz val="11"/>
      <name val="Calibri Light"/>
      <family val="2"/>
    </font>
    <font>
      <i/>
      <sz val="8"/>
      <color indexed="8"/>
      <name val="Calibri Light"/>
      <family val="2"/>
    </font>
    <font>
      <sz val="12"/>
      <color indexed="8"/>
      <name val="Verdana"/>
      <family val="2"/>
    </font>
    <font>
      <sz val="12"/>
      <color indexed="8"/>
      <name val="Verdana"/>
      <family val="2"/>
    </font>
  </fonts>
  <fills count="1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3" tint="0.79998168889431442"/>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rgb="FFF9EAB9"/>
        <bgColor indexed="64"/>
      </patternFill>
    </fill>
    <fill>
      <patternFill patternType="solid">
        <fgColor rgb="FFC5D9F1"/>
        <bgColor indexed="64"/>
      </patternFill>
    </fill>
  </fills>
  <borders count="29">
    <border>
      <left/>
      <right/>
      <top/>
      <bottom/>
      <diagonal/>
    </border>
    <border>
      <left/>
      <right/>
      <top/>
      <bottom/>
      <diagonal/>
    </border>
    <border>
      <left style="thick">
        <color theme="0"/>
      </left>
      <right style="thick">
        <color theme="0"/>
      </right>
      <top style="thick">
        <color theme="0"/>
      </top>
      <bottom style="thick">
        <color theme="0"/>
      </bottom>
      <diagonal/>
    </border>
    <border>
      <left/>
      <right/>
      <top/>
      <bottom style="thick">
        <color theme="0"/>
      </bottom>
      <diagonal/>
    </border>
    <border>
      <left/>
      <right style="thick">
        <color theme="0"/>
      </right>
      <top style="thick">
        <color theme="0"/>
      </top>
      <bottom style="thick">
        <color theme="0"/>
      </bottom>
      <diagonal/>
    </border>
    <border>
      <left style="thick">
        <color theme="2" tint="-9.9978637043366805E-2"/>
      </left>
      <right style="thick">
        <color theme="2" tint="-9.9978637043366805E-2"/>
      </right>
      <top style="thick">
        <color theme="2" tint="-9.9978637043366805E-2"/>
      </top>
      <bottom style="thick">
        <color theme="2" tint="-9.9978637043366805E-2"/>
      </bottom>
      <diagonal/>
    </border>
    <border>
      <left style="thick">
        <color theme="2" tint="-9.9978637043366805E-2"/>
      </left>
      <right/>
      <top style="thick">
        <color theme="2" tint="-9.9978637043366805E-2"/>
      </top>
      <bottom style="thick">
        <color theme="2" tint="-9.9978637043366805E-2"/>
      </bottom>
      <diagonal/>
    </border>
    <border>
      <left/>
      <right style="thick">
        <color theme="2" tint="-9.9978637043366805E-2"/>
      </right>
      <top style="thick">
        <color theme="2" tint="-9.9978637043366805E-2"/>
      </top>
      <bottom style="thick">
        <color theme="2" tint="-9.9978637043366805E-2"/>
      </bottom>
      <diagonal/>
    </border>
    <border>
      <left style="thick">
        <color theme="2" tint="-9.9978637043366805E-2"/>
      </left>
      <right/>
      <top style="thick">
        <color theme="2" tint="-9.9978637043366805E-2"/>
      </top>
      <bottom/>
      <diagonal/>
    </border>
    <border>
      <left/>
      <right/>
      <top style="thick">
        <color theme="2" tint="-9.9978637043366805E-2"/>
      </top>
      <bottom/>
      <diagonal/>
    </border>
    <border>
      <left/>
      <right style="thick">
        <color theme="2" tint="-9.9978637043366805E-2"/>
      </right>
      <top style="thick">
        <color theme="2" tint="-9.9978637043366805E-2"/>
      </top>
      <bottom/>
      <diagonal/>
    </border>
    <border>
      <left style="thick">
        <color theme="2" tint="-9.9978637043366805E-2"/>
      </left>
      <right/>
      <top/>
      <bottom style="thick">
        <color theme="2" tint="-9.9978637043366805E-2"/>
      </bottom>
      <diagonal/>
    </border>
    <border>
      <left/>
      <right/>
      <top/>
      <bottom style="thick">
        <color theme="2" tint="-9.9978637043366805E-2"/>
      </bottom>
      <diagonal/>
    </border>
    <border>
      <left/>
      <right style="thick">
        <color theme="2" tint="-9.9978637043366805E-2"/>
      </right>
      <top/>
      <bottom style="thick">
        <color theme="2" tint="-9.9978637043366805E-2"/>
      </bottom>
      <diagonal/>
    </border>
    <border>
      <left style="thick">
        <color theme="2" tint="-9.9978637043366805E-2"/>
      </left>
      <right style="thick">
        <color theme="2" tint="-9.9978637043366805E-2"/>
      </right>
      <top style="thick">
        <color theme="2" tint="-9.9978637043366805E-2"/>
      </top>
      <bottom/>
      <diagonal/>
    </border>
    <border>
      <left style="thick">
        <color theme="2" tint="-9.9978637043366805E-2"/>
      </left>
      <right style="thick">
        <color theme="2" tint="-9.9978637043366805E-2"/>
      </right>
      <top/>
      <bottom style="thick">
        <color theme="2" tint="-9.9978637043366805E-2"/>
      </bottom>
      <diagonal/>
    </border>
    <border>
      <left/>
      <right/>
      <top style="thick">
        <color theme="2" tint="-9.9978637043366805E-2"/>
      </top>
      <bottom style="thick">
        <color theme="2" tint="-9.9978637043366805E-2"/>
      </bottom>
      <diagonal/>
    </border>
    <border>
      <left style="double">
        <color rgb="FFFF0000"/>
      </left>
      <right style="double">
        <color rgb="FFFF0000"/>
      </right>
      <top style="double">
        <color rgb="FFFF0000"/>
      </top>
      <bottom style="double">
        <color rgb="FFFF0000"/>
      </bottom>
      <diagonal/>
    </border>
    <border>
      <left/>
      <right style="double">
        <color rgb="FFFF0000"/>
      </right>
      <top style="double">
        <color rgb="FFFF0000"/>
      </top>
      <bottom style="double">
        <color rgb="FFFF0000"/>
      </bottom>
      <diagonal/>
    </border>
    <border>
      <left style="double">
        <color rgb="FFFF0000"/>
      </left>
      <right style="double">
        <color rgb="FFFF0000"/>
      </right>
      <top/>
      <bottom/>
      <diagonal/>
    </border>
    <border>
      <left/>
      <right style="double">
        <color rgb="FFFF0000"/>
      </right>
      <top/>
      <bottom/>
      <diagonal/>
    </border>
    <border>
      <left style="double">
        <color rgb="FFFF0000"/>
      </left>
      <right style="double">
        <color rgb="FFFF0000"/>
      </right>
      <top/>
      <bottom style="double">
        <color rgb="FFFF0000"/>
      </bottom>
      <diagonal/>
    </border>
    <border>
      <left/>
      <right style="double">
        <color rgb="FFFF0000"/>
      </right>
      <top/>
      <bottom style="double">
        <color rgb="FFFF0000"/>
      </bottom>
      <diagonal/>
    </border>
    <border>
      <left/>
      <right style="double">
        <color rgb="FFFF0000"/>
      </right>
      <top style="double">
        <color rgb="FFFF0000"/>
      </top>
      <bottom/>
      <diagonal/>
    </border>
    <border>
      <left style="double">
        <color rgb="FFFF0000"/>
      </left>
      <right style="double">
        <color rgb="FFFF0000"/>
      </right>
      <top style="double">
        <color rgb="FFFF0000"/>
      </top>
      <bottom/>
      <diagonal/>
    </border>
    <border>
      <left style="double">
        <color rgb="FFFF0000"/>
      </left>
      <right/>
      <top style="double">
        <color rgb="FFFF0000"/>
      </top>
      <bottom style="double">
        <color rgb="FFFF0000"/>
      </bottom>
      <diagonal/>
    </border>
    <border>
      <left/>
      <right/>
      <top style="double">
        <color rgb="FFFF0000"/>
      </top>
      <bottom style="double">
        <color rgb="FFFF0000"/>
      </bottom>
      <diagonal/>
    </border>
    <border>
      <left style="thick">
        <color theme="2" tint="-9.9978637043366805E-2"/>
      </left>
      <right/>
      <top/>
      <bottom/>
      <diagonal/>
    </border>
    <border>
      <left/>
      <right style="thick">
        <color theme="2" tint="-9.9978637043366805E-2"/>
      </right>
      <top/>
      <bottom/>
      <diagonal/>
    </border>
  </borders>
  <cellStyleXfs count="17">
    <xf numFmtId="0" fontId="0" fillId="0" borderId="0" applyNumberFormat="0" applyFill="0" applyBorder="0" applyProtection="0">
      <alignment vertical="top" wrapText="1"/>
    </xf>
    <xf numFmtId="0" fontId="1"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1"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1"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1"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1"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1"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1"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44" fontId="19" fillId="0" borderId="0" applyFont="0" applyFill="0" applyBorder="0" applyAlignment="0" applyProtection="0"/>
    <xf numFmtId="9" fontId="19" fillId="0" borderId="0" applyFont="0" applyFill="0" applyBorder="0" applyAlignment="0" applyProtection="0"/>
  </cellStyleXfs>
  <cellXfs count="158">
    <xf numFmtId="0" fontId="0" fillId="0" borderId="0" xfId="0" applyFont="1" applyAlignment="1">
      <alignment vertical="top" wrapText="1"/>
    </xf>
    <xf numFmtId="0" fontId="3" fillId="2" borderId="0" xfId="0" applyFont="1" applyFill="1" applyAlignment="1" applyProtection="1">
      <alignment horizontal="center" vertical="center" wrapText="1"/>
    </xf>
    <xf numFmtId="0" fontId="5" fillId="2" borderId="0" xfId="0" applyFont="1" applyFill="1" applyAlignment="1" applyProtection="1">
      <alignment horizontal="center" vertical="center"/>
    </xf>
    <xf numFmtId="0" fontId="6" fillId="0" borderId="0" xfId="0" applyFont="1" applyFill="1" applyAlignment="1" applyProtection="1">
      <alignment horizontal="center" vertical="center"/>
    </xf>
    <xf numFmtId="0" fontId="6" fillId="2" borderId="0" xfId="0" applyFont="1" applyFill="1" applyAlignment="1" applyProtection="1">
      <alignment horizontal="center" vertical="center"/>
    </xf>
    <xf numFmtId="0" fontId="3" fillId="2" borderId="0" xfId="0" applyFont="1" applyFill="1" applyAlignment="1" applyProtection="1">
      <alignment horizontal="center" vertical="center"/>
    </xf>
    <xf numFmtId="0" fontId="7" fillId="0" borderId="0" xfId="0" applyFont="1" applyFill="1" applyAlignment="1" applyProtection="1">
      <alignment horizontal="center" vertical="center"/>
    </xf>
    <xf numFmtId="0" fontId="3" fillId="2" borderId="1" xfId="0" applyFont="1" applyFill="1" applyBorder="1" applyAlignment="1" applyProtection="1">
      <alignment horizontal="center" vertical="center"/>
    </xf>
    <xf numFmtId="0" fontId="3" fillId="2" borderId="0" xfId="0" applyFont="1" applyFill="1" applyAlignment="1" applyProtection="1">
      <alignment vertical="center" wrapText="1"/>
    </xf>
    <xf numFmtId="0" fontId="8" fillId="2" borderId="0" xfId="0" applyFont="1" applyFill="1" applyAlignment="1" applyProtection="1">
      <alignment horizontal="center" vertical="center" wrapText="1"/>
    </xf>
    <xf numFmtId="0" fontId="12" fillId="0" borderId="0" xfId="0" applyFont="1" applyFill="1" applyAlignment="1" applyProtection="1">
      <alignment horizontal="center" vertical="center"/>
    </xf>
    <xf numFmtId="0" fontId="3" fillId="0" borderId="1" xfId="0" applyFont="1" applyFill="1" applyBorder="1" applyAlignment="1" applyProtection="1">
      <alignment horizontal="center" vertical="center" wrapText="1"/>
    </xf>
    <xf numFmtId="0" fontId="17" fillId="2" borderId="0" xfId="0" applyFont="1" applyFill="1" applyAlignment="1" applyProtection="1">
      <alignment horizontal="right" wrapText="1"/>
    </xf>
    <xf numFmtId="0" fontId="3" fillId="12" borderId="8" xfId="0" applyFont="1" applyFill="1" applyBorder="1" applyAlignment="1" applyProtection="1">
      <alignment horizontal="center" vertical="center" wrapText="1"/>
    </xf>
    <xf numFmtId="0" fontId="3" fillId="10" borderId="9" xfId="0" applyFont="1" applyFill="1" applyBorder="1" applyAlignment="1" applyProtection="1">
      <alignment horizontal="center" vertical="center" wrapText="1"/>
    </xf>
    <xf numFmtId="0" fontId="3" fillId="9" borderId="9" xfId="0" applyFont="1" applyFill="1" applyBorder="1" applyAlignment="1" applyProtection="1">
      <alignment horizontal="center" vertical="center" wrapText="1"/>
    </xf>
    <xf numFmtId="0" fontId="3" fillId="6" borderId="10" xfId="0" applyFont="1" applyFill="1" applyBorder="1" applyAlignment="1" applyProtection="1">
      <alignment horizontal="center" vertical="center" wrapText="1"/>
    </xf>
    <xf numFmtId="0" fontId="3" fillId="7" borderId="9" xfId="0" applyFont="1" applyFill="1" applyBorder="1" applyAlignment="1" applyProtection="1">
      <alignment horizontal="center" vertical="center" wrapText="1"/>
    </xf>
    <xf numFmtId="0" fontId="3" fillId="11" borderId="9" xfId="0" applyFont="1" applyFill="1" applyBorder="1" applyAlignment="1" applyProtection="1">
      <alignment horizontal="center" vertical="center" wrapText="1"/>
    </xf>
    <xf numFmtId="0" fontId="3" fillId="10" borderId="16" xfId="0" applyFont="1" applyFill="1" applyBorder="1" applyAlignment="1" applyProtection="1">
      <alignment horizontal="center" vertical="center" wrapText="1"/>
    </xf>
    <xf numFmtId="0" fontId="3" fillId="9" borderId="10" xfId="0" applyFont="1" applyFill="1" applyBorder="1" applyAlignment="1" applyProtection="1">
      <alignment horizontal="center" vertical="center" wrapText="1"/>
    </xf>
    <xf numFmtId="0" fontId="3" fillId="6" borderId="16" xfId="0" applyFont="1" applyFill="1" applyBorder="1" applyAlignment="1" applyProtection="1">
      <alignment horizontal="center" vertical="center" wrapText="1"/>
    </xf>
    <xf numFmtId="0" fontId="3" fillId="7" borderId="16" xfId="0" applyFont="1" applyFill="1" applyBorder="1" applyAlignment="1" applyProtection="1">
      <alignment horizontal="center" vertical="center" wrapText="1"/>
    </xf>
    <xf numFmtId="0" fontId="3" fillId="11" borderId="10" xfId="0" applyFont="1" applyFill="1" applyBorder="1" applyAlignment="1" applyProtection="1">
      <alignment horizontal="center" vertical="center" wrapText="1"/>
    </xf>
    <xf numFmtId="1" fontId="3" fillId="0" borderId="5" xfId="0" applyNumberFormat="1" applyFont="1" applyBorder="1" applyAlignment="1" applyProtection="1">
      <alignment horizontal="center" vertical="center" wrapText="1"/>
    </xf>
    <xf numFmtId="1" fontId="3" fillId="0" borderId="13" xfId="0" applyNumberFormat="1" applyFont="1" applyBorder="1" applyAlignment="1" applyProtection="1">
      <alignment horizontal="center" vertical="center" wrapText="1"/>
    </xf>
    <xf numFmtId="0" fontId="3" fillId="0" borderId="0" xfId="0" applyFont="1" applyAlignment="1" applyProtection="1">
      <alignment horizontal="center" vertical="center" wrapText="1"/>
    </xf>
    <xf numFmtId="0" fontId="4" fillId="2" borderId="1" xfId="0" applyFont="1" applyFill="1" applyBorder="1" applyAlignment="1" applyProtection="1">
      <alignment horizontal="center" vertical="center"/>
    </xf>
    <xf numFmtId="6" fontId="8" fillId="0" borderId="0" xfId="0" applyNumberFormat="1" applyFont="1" applyAlignment="1" applyProtection="1">
      <alignment horizontal="center" vertical="center" wrapText="1"/>
    </xf>
    <xf numFmtId="1" fontId="8" fillId="0" borderId="1" xfId="0" applyNumberFormat="1" applyFont="1" applyBorder="1" applyAlignment="1" applyProtection="1">
      <alignment horizontal="center" vertical="center" wrapText="1"/>
    </xf>
    <xf numFmtId="6" fontId="6" fillId="0" borderId="0" xfId="0" applyNumberFormat="1" applyFont="1" applyAlignment="1" applyProtection="1">
      <alignment horizontal="center" vertical="center" wrapText="1"/>
    </xf>
    <xf numFmtId="6" fontId="3" fillId="0" borderId="0" xfId="0" applyNumberFormat="1" applyFont="1" applyAlignment="1" applyProtection="1">
      <alignment horizontal="center" vertical="center" wrapText="1"/>
    </xf>
    <xf numFmtId="0" fontId="3" fillId="0" borderId="12" xfId="0" applyFont="1" applyBorder="1" applyAlignment="1" applyProtection="1">
      <alignment horizontal="center" vertical="center" wrapText="1"/>
    </xf>
    <xf numFmtId="0" fontId="18" fillId="12" borderId="8" xfId="0" applyFont="1" applyFill="1" applyBorder="1" applyAlignment="1" applyProtection="1">
      <alignment horizontal="center" vertical="center" wrapText="1"/>
    </xf>
    <xf numFmtId="0" fontId="3" fillId="5" borderId="16" xfId="0" applyFont="1" applyFill="1" applyBorder="1" applyAlignment="1" applyProtection="1">
      <alignment horizontal="center" vertical="center" wrapText="1"/>
    </xf>
    <xf numFmtId="0" fontId="3" fillId="0" borderId="15" xfId="0" applyFont="1" applyBorder="1" applyAlignment="1" applyProtection="1">
      <alignment horizontal="center" vertical="center" wrapText="1"/>
    </xf>
    <xf numFmtId="0" fontId="3" fillId="0" borderId="14" xfId="0" applyFont="1" applyBorder="1" applyAlignment="1" applyProtection="1">
      <alignment horizontal="center" vertical="center" wrapText="1"/>
    </xf>
    <xf numFmtId="0" fontId="3" fillId="0" borderId="15" xfId="0" applyNumberFormat="1" applyFont="1" applyBorder="1" applyAlignment="1" applyProtection="1">
      <alignment horizontal="center" vertical="center" wrapText="1"/>
    </xf>
    <xf numFmtId="0" fontId="3" fillId="12" borderId="15" xfId="0" applyFont="1" applyFill="1" applyBorder="1" applyAlignment="1" applyProtection="1">
      <alignment horizontal="center" vertical="center" wrapText="1"/>
    </xf>
    <xf numFmtId="0" fontId="3" fillId="12" borderId="1" xfId="0" applyFont="1" applyFill="1" applyBorder="1" applyAlignment="1" applyProtection="1">
      <alignment horizontal="center" vertical="center" wrapText="1"/>
    </xf>
    <xf numFmtId="0" fontId="3" fillId="0" borderId="11" xfId="0" applyFont="1" applyBorder="1" applyAlignment="1" applyProtection="1">
      <alignment horizontal="center" vertical="center" wrapText="1"/>
    </xf>
    <xf numFmtId="6" fontId="3" fillId="0" borderId="5" xfId="0" applyNumberFormat="1" applyFont="1" applyBorder="1" applyAlignment="1" applyProtection="1">
      <alignment horizontal="center" vertical="center" wrapText="1"/>
    </xf>
    <xf numFmtId="8" fontId="3" fillId="0" borderId="6" xfId="0" applyNumberFormat="1" applyFont="1" applyBorder="1" applyAlignment="1" applyProtection="1">
      <alignment horizontal="center" vertical="center" wrapText="1"/>
    </xf>
    <xf numFmtId="8" fontId="3" fillId="0" borderId="11" xfId="0" applyNumberFormat="1" applyFont="1" applyBorder="1" applyAlignment="1" applyProtection="1">
      <alignment horizontal="center" vertical="center" wrapText="1"/>
    </xf>
    <xf numFmtId="9" fontId="3" fillId="0" borderId="13" xfId="0" applyNumberFormat="1" applyFont="1" applyBorder="1" applyAlignment="1" applyProtection="1">
      <alignment horizontal="center" vertical="center" wrapText="1"/>
    </xf>
    <xf numFmtId="0" fontId="6" fillId="0" borderId="0" xfId="0" applyFont="1" applyAlignment="1" applyProtection="1">
      <alignment horizontal="center" vertical="center" wrapText="1"/>
    </xf>
    <xf numFmtId="0" fontId="3" fillId="4" borderId="5" xfId="0" applyFont="1" applyFill="1" applyBorder="1" applyAlignment="1" applyProtection="1">
      <alignment horizontal="center" vertical="center" wrapText="1"/>
    </xf>
    <xf numFmtId="0" fontId="3" fillId="13" borderId="14" xfId="0" applyFont="1" applyFill="1" applyBorder="1" applyAlignment="1" applyProtection="1">
      <alignment horizontal="center" vertical="center" wrapText="1"/>
    </xf>
    <xf numFmtId="0" fontId="3" fillId="13" borderId="5" xfId="0" applyFont="1" applyFill="1" applyBorder="1" applyAlignment="1" applyProtection="1">
      <alignment horizontal="center" vertical="center" wrapText="1"/>
    </xf>
    <xf numFmtId="0" fontId="3" fillId="10" borderId="14" xfId="0" applyFont="1" applyFill="1" applyBorder="1" applyAlignment="1" applyProtection="1">
      <alignment horizontal="center" vertical="center" wrapText="1"/>
    </xf>
    <xf numFmtId="0" fontId="3" fillId="10" borderId="5" xfId="0" applyFont="1" applyFill="1" applyBorder="1" applyAlignment="1" applyProtection="1">
      <alignment horizontal="center" vertical="center" wrapText="1"/>
    </xf>
    <xf numFmtId="0" fontId="3" fillId="6" borderId="14" xfId="0" applyFont="1" applyFill="1" applyBorder="1" applyAlignment="1" applyProtection="1">
      <alignment horizontal="center" vertical="center" wrapText="1"/>
    </xf>
    <xf numFmtId="0" fontId="3" fillId="6" borderId="5" xfId="0" applyFont="1" applyFill="1" applyBorder="1" applyAlignment="1" applyProtection="1">
      <alignment horizontal="center" vertical="center" wrapText="1"/>
    </xf>
    <xf numFmtId="0" fontId="3" fillId="11" borderId="14" xfId="0" applyFont="1" applyFill="1" applyBorder="1" applyAlignment="1" applyProtection="1">
      <alignment horizontal="center" vertical="center" wrapText="1"/>
    </xf>
    <xf numFmtId="0" fontId="3" fillId="11" borderId="5" xfId="0" applyFont="1" applyFill="1" applyBorder="1" applyAlignment="1" applyProtection="1">
      <alignment horizontal="center" vertical="center" wrapText="1"/>
    </xf>
    <xf numFmtId="0" fontId="3" fillId="2" borderId="4" xfId="0" applyFont="1" applyFill="1" applyBorder="1" applyAlignment="1" applyProtection="1">
      <alignment horizontal="center" vertical="center" wrapText="1"/>
    </xf>
    <xf numFmtId="0" fontId="3" fillId="2" borderId="2" xfId="0" applyFont="1" applyFill="1" applyBorder="1" applyAlignment="1" applyProtection="1">
      <alignment horizontal="center" vertical="center" wrapText="1"/>
    </xf>
    <xf numFmtId="0" fontId="3" fillId="4" borderId="6" xfId="0" applyFont="1" applyFill="1" applyBorder="1" applyAlignment="1" applyProtection="1">
      <alignment horizontal="center" vertical="center"/>
    </xf>
    <xf numFmtId="6" fontId="3" fillId="13" borderId="16" xfId="0" applyNumberFormat="1" applyFont="1" applyFill="1" applyBorder="1" applyAlignment="1" applyProtection="1">
      <alignment horizontal="center" vertical="center" wrapText="1"/>
    </xf>
    <xf numFmtId="6" fontId="3" fillId="10" borderId="16" xfId="0" applyNumberFormat="1" applyFont="1" applyFill="1" applyBorder="1" applyAlignment="1" applyProtection="1">
      <alignment horizontal="center" vertical="center" wrapText="1"/>
    </xf>
    <xf numFmtId="6" fontId="3" fillId="6" borderId="16" xfId="0" applyNumberFormat="1" applyFont="1" applyFill="1" applyBorder="1" applyAlignment="1" applyProtection="1">
      <alignment horizontal="center" vertical="center" wrapText="1"/>
    </xf>
    <xf numFmtId="6" fontId="3" fillId="11" borderId="7" xfId="0" applyNumberFormat="1" applyFont="1" applyFill="1" applyBorder="1" applyAlignment="1" applyProtection="1">
      <alignment horizontal="center" vertical="center" wrapText="1"/>
    </xf>
    <xf numFmtId="6" fontId="3" fillId="2" borderId="4" xfId="0" applyNumberFormat="1" applyFont="1" applyFill="1" applyBorder="1" applyAlignment="1" applyProtection="1">
      <alignment horizontal="center" vertical="center" wrapText="1"/>
    </xf>
    <xf numFmtId="6" fontId="3" fillId="2" borderId="2" xfId="0" applyNumberFormat="1" applyFont="1" applyFill="1" applyBorder="1" applyAlignment="1" applyProtection="1">
      <alignment horizontal="center" vertical="center" wrapText="1"/>
    </xf>
    <xf numFmtId="0" fontId="3" fillId="4" borderId="6" xfId="0" applyFont="1" applyFill="1" applyBorder="1" applyAlignment="1" applyProtection="1">
      <alignment horizontal="center" vertical="center" wrapText="1"/>
    </xf>
    <xf numFmtId="38" fontId="11" fillId="0" borderId="0" xfId="0" applyNumberFormat="1" applyFont="1" applyAlignment="1" applyProtection="1">
      <alignment horizontal="right" vertical="center" wrapText="1"/>
    </xf>
    <xf numFmtId="38" fontId="11" fillId="0" borderId="0" xfId="0" applyNumberFormat="1" applyFont="1" applyAlignment="1" applyProtection="1">
      <alignment horizontal="left" vertical="center" wrapText="1"/>
    </xf>
    <xf numFmtId="0" fontId="3" fillId="0" borderId="1" xfId="0" applyFont="1" applyBorder="1" applyAlignment="1" applyProtection="1">
      <alignment horizontal="center" vertical="center" wrapText="1"/>
    </xf>
    <xf numFmtId="0" fontId="3" fillId="9" borderId="5" xfId="0" applyFont="1" applyFill="1" applyBorder="1" applyAlignment="1" applyProtection="1">
      <alignment horizontal="center" vertical="center" wrapText="1"/>
    </xf>
    <xf numFmtId="0" fontId="3" fillId="8" borderId="14" xfId="0" applyFont="1" applyFill="1" applyBorder="1" applyAlignment="1" applyProtection="1">
      <alignment horizontal="center" vertical="center" wrapText="1"/>
    </xf>
    <xf numFmtId="0" fontId="3" fillId="8" borderId="5" xfId="0" applyFont="1" applyFill="1" applyBorder="1" applyAlignment="1" applyProtection="1">
      <alignment horizontal="center" vertical="center" wrapText="1"/>
    </xf>
    <xf numFmtId="0" fontId="3" fillId="7" borderId="5" xfId="0" applyFont="1" applyFill="1" applyBorder="1" applyAlignment="1" applyProtection="1">
      <alignment horizontal="center" vertical="center" wrapText="1"/>
    </xf>
    <xf numFmtId="0" fontId="3" fillId="3" borderId="5" xfId="0" applyFont="1" applyFill="1" applyBorder="1" applyAlignment="1" applyProtection="1">
      <alignment horizontal="center" vertical="center" wrapText="1"/>
    </xf>
    <xf numFmtId="0" fontId="3" fillId="4" borderId="5" xfId="0" applyFont="1" applyFill="1" applyBorder="1" applyAlignment="1" applyProtection="1">
      <alignment horizontal="center" vertical="center"/>
    </xf>
    <xf numFmtId="6" fontId="3" fillId="9" borderId="5" xfId="0" applyNumberFormat="1" applyFont="1" applyFill="1" applyBorder="1" applyAlignment="1" applyProtection="1">
      <alignment horizontal="center" vertical="center" wrapText="1"/>
    </xf>
    <xf numFmtId="6" fontId="3" fillId="9" borderId="6" xfId="0" applyNumberFormat="1" applyFont="1" applyFill="1" applyBorder="1" applyAlignment="1" applyProtection="1">
      <alignment horizontal="center" vertical="center" wrapText="1"/>
    </xf>
    <xf numFmtId="6" fontId="3" fillId="8" borderId="7" xfId="0" applyNumberFormat="1" applyFont="1" applyFill="1" applyBorder="1" applyAlignment="1" applyProtection="1">
      <alignment horizontal="center" vertical="center" wrapText="1"/>
    </xf>
    <xf numFmtId="6" fontId="3" fillId="7" borderId="5" xfId="0" applyNumberFormat="1" applyFont="1" applyFill="1" applyBorder="1" applyAlignment="1" applyProtection="1">
      <alignment horizontal="center" vertical="center" wrapText="1"/>
    </xf>
    <xf numFmtId="8" fontId="3" fillId="7" borderId="5" xfId="0" applyNumberFormat="1" applyFont="1" applyFill="1" applyBorder="1" applyAlignment="1" applyProtection="1">
      <alignment horizontal="center" vertical="center" wrapText="1"/>
    </xf>
    <xf numFmtId="8" fontId="3" fillId="3" borderId="5" xfId="0" applyNumberFormat="1" applyFont="1" applyFill="1" applyBorder="1" applyAlignment="1" applyProtection="1">
      <alignment horizontal="center" vertical="center" wrapText="1"/>
    </xf>
    <xf numFmtId="6" fontId="3" fillId="3" borderId="5" xfId="0" applyNumberFormat="1" applyFont="1" applyFill="1" applyBorder="1" applyAlignment="1" applyProtection="1">
      <alignment horizontal="center" vertical="center" wrapText="1"/>
    </xf>
    <xf numFmtId="9" fontId="3" fillId="3" borderId="5" xfId="0" applyNumberFormat="1" applyFont="1" applyFill="1" applyBorder="1" applyAlignment="1" applyProtection="1">
      <alignment horizontal="center" vertical="center" wrapText="1"/>
    </xf>
    <xf numFmtId="164" fontId="3" fillId="2" borderId="17" xfId="0" applyNumberFormat="1" applyFont="1" applyFill="1" applyBorder="1" applyAlignment="1" applyProtection="1">
      <alignment horizontal="center" vertical="center" wrapText="1"/>
      <protection locked="0"/>
    </xf>
    <xf numFmtId="38" fontId="3" fillId="2" borderId="18" xfId="0" applyNumberFormat="1" applyFont="1" applyFill="1" applyBorder="1" applyAlignment="1" applyProtection="1">
      <alignment horizontal="center" vertical="center" wrapText="1"/>
      <protection locked="0"/>
    </xf>
    <xf numFmtId="164" fontId="3" fillId="2" borderId="19" xfId="0" applyNumberFormat="1" applyFont="1" applyFill="1" applyBorder="1" applyAlignment="1" applyProtection="1">
      <alignment horizontal="center" vertical="center" wrapText="1"/>
      <protection locked="0"/>
    </xf>
    <xf numFmtId="38" fontId="3" fillId="2" borderId="20" xfId="0" applyNumberFormat="1" applyFont="1" applyFill="1" applyBorder="1" applyAlignment="1" applyProtection="1">
      <alignment horizontal="center" vertical="center" wrapText="1"/>
      <protection locked="0"/>
    </xf>
    <xf numFmtId="0" fontId="3" fillId="2" borderId="18" xfId="0" applyFont="1" applyFill="1" applyBorder="1" applyAlignment="1" applyProtection="1">
      <alignment horizontal="center" vertical="center" wrapText="1"/>
      <protection locked="0"/>
    </xf>
    <xf numFmtId="164" fontId="3" fillId="2" borderId="21" xfId="0" applyNumberFormat="1" applyFont="1" applyFill="1" applyBorder="1" applyAlignment="1" applyProtection="1">
      <alignment horizontal="center" vertical="center" wrapText="1"/>
      <protection locked="0"/>
    </xf>
    <xf numFmtId="0" fontId="3" fillId="2" borderId="22" xfId="0" applyFont="1" applyFill="1" applyBorder="1" applyAlignment="1" applyProtection="1">
      <alignment horizontal="center" vertical="center" wrapText="1"/>
      <protection locked="0"/>
    </xf>
    <xf numFmtId="164" fontId="3" fillId="2" borderId="24" xfId="0" applyNumberFormat="1" applyFont="1" applyFill="1" applyBorder="1" applyAlignment="1" applyProtection="1">
      <alignment horizontal="center" vertical="center" wrapText="1"/>
      <protection locked="0"/>
    </xf>
    <xf numFmtId="38" fontId="3" fillId="2" borderId="23" xfId="0" applyNumberFormat="1" applyFont="1" applyFill="1" applyBorder="1" applyAlignment="1" applyProtection="1">
      <alignment horizontal="center" vertical="center" wrapText="1"/>
      <protection locked="0"/>
    </xf>
    <xf numFmtId="38" fontId="3" fillId="2" borderId="22" xfId="0" applyNumberFormat="1" applyFont="1" applyFill="1" applyBorder="1" applyAlignment="1" applyProtection="1">
      <alignment horizontal="center" vertical="center" wrapText="1"/>
      <protection locked="0"/>
    </xf>
    <xf numFmtId="9" fontId="3" fillId="2" borderId="17" xfId="0" applyNumberFormat="1" applyFont="1" applyFill="1" applyBorder="1" applyAlignment="1" applyProtection="1">
      <alignment horizontal="center" vertical="center" wrapText="1"/>
      <protection locked="0"/>
    </xf>
    <xf numFmtId="1" fontId="11" fillId="0" borderId="0" xfId="0" applyNumberFormat="1" applyFont="1" applyAlignment="1" applyProtection="1">
      <alignment horizontal="right" vertical="center" wrapText="1"/>
    </xf>
    <xf numFmtId="0" fontId="3" fillId="12" borderId="16" xfId="0" applyFont="1" applyFill="1" applyBorder="1" applyAlignment="1" applyProtection="1">
      <alignment horizontal="center" vertical="center" wrapText="1"/>
    </xf>
    <xf numFmtId="0" fontId="3" fillId="0" borderId="0" xfId="0" applyFont="1" applyAlignment="1" applyProtection="1">
      <alignment horizontal="center" vertical="center" wrapText="1"/>
    </xf>
    <xf numFmtId="6" fontId="3" fillId="0" borderId="1" xfId="0" applyNumberFormat="1" applyFont="1" applyBorder="1" applyAlignment="1" applyProtection="1">
      <alignment horizontal="center" vertical="center" wrapText="1"/>
    </xf>
    <xf numFmtId="8" fontId="3" fillId="0" borderId="1" xfId="0" applyNumberFormat="1" applyFont="1" applyBorder="1" applyAlignment="1" applyProtection="1">
      <alignment horizontal="center" vertical="center" wrapText="1"/>
    </xf>
    <xf numFmtId="1" fontId="3" fillId="0" borderId="1" xfId="0" applyNumberFormat="1" applyFont="1" applyBorder="1" applyAlignment="1" applyProtection="1">
      <alignment horizontal="center" vertical="center" wrapText="1"/>
    </xf>
    <xf numFmtId="9" fontId="3" fillId="0" borderId="1" xfId="0" applyNumberFormat="1" applyFont="1" applyBorder="1" applyAlignment="1" applyProtection="1">
      <alignment horizontal="center" vertical="center" wrapText="1"/>
    </xf>
    <xf numFmtId="9" fontId="3" fillId="0" borderId="15" xfId="16" applyFont="1" applyBorder="1" applyAlignment="1" applyProtection="1">
      <alignment horizontal="center" vertical="center" wrapText="1"/>
    </xf>
    <xf numFmtId="9" fontId="3" fillId="0" borderId="5" xfId="16" applyFont="1" applyBorder="1" applyAlignment="1" applyProtection="1">
      <alignment horizontal="center" vertical="center" wrapText="1"/>
    </xf>
    <xf numFmtId="6" fontId="3" fillId="0" borderId="14" xfId="0" applyNumberFormat="1" applyFont="1" applyBorder="1" applyAlignment="1" applyProtection="1">
      <alignment horizontal="center" vertical="center" wrapText="1"/>
    </xf>
    <xf numFmtId="164" fontId="3" fillId="0" borderId="14" xfId="0" applyNumberFormat="1" applyFont="1" applyBorder="1" applyAlignment="1" applyProtection="1">
      <alignment horizontal="center" vertical="center" wrapText="1"/>
    </xf>
    <xf numFmtId="164" fontId="3" fillId="0" borderId="10" xfId="0" applyNumberFormat="1" applyFont="1" applyBorder="1" applyAlignment="1" applyProtection="1">
      <alignment horizontal="center" vertical="center" wrapText="1"/>
    </xf>
    <xf numFmtId="1" fontId="3" fillId="0" borderId="17" xfId="0" applyNumberFormat="1" applyFont="1" applyBorder="1" applyAlignment="1" applyProtection="1">
      <alignment horizontal="center" vertical="center" wrapText="1"/>
    </xf>
    <xf numFmtId="6" fontId="3" fillId="0" borderId="17" xfId="0" applyNumberFormat="1" applyFont="1" applyBorder="1" applyAlignment="1" applyProtection="1">
      <alignment horizontal="center" vertical="center" wrapText="1"/>
    </xf>
    <xf numFmtId="164" fontId="3" fillId="0" borderId="17" xfId="0" applyNumberFormat="1" applyFont="1" applyBorder="1" applyAlignment="1" applyProtection="1">
      <alignment horizontal="center" vertical="center" wrapText="1"/>
    </xf>
    <xf numFmtId="0" fontId="3" fillId="6" borderId="9" xfId="0" applyFont="1" applyFill="1" applyBorder="1" applyAlignment="1" applyProtection="1">
      <alignment horizontal="center" vertical="center" wrapText="1"/>
    </xf>
    <xf numFmtId="38" fontId="0" fillId="0" borderId="0" xfId="0" applyNumberFormat="1" applyFont="1" applyAlignment="1">
      <alignment vertical="top" wrapText="1"/>
    </xf>
    <xf numFmtId="0" fontId="0" fillId="0" borderId="17" xfId="0" applyFont="1" applyBorder="1" applyAlignment="1">
      <alignment vertical="top" wrapText="1"/>
    </xf>
    <xf numFmtId="9" fontId="0" fillId="0" borderId="17" xfId="16" applyFont="1" applyBorder="1" applyAlignment="1">
      <alignment vertical="top" wrapText="1"/>
    </xf>
    <xf numFmtId="44" fontId="0" fillId="0" borderId="17" xfId="15" applyFont="1" applyBorder="1" applyAlignment="1">
      <alignment vertical="top" wrapText="1"/>
    </xf>
    <xf numFmtId="9" fontId="0" fillId="0" borderId="0" xfId="16" applyFont="1" applyAlignment="1">
      <alignment vertical="top" wrapText="1"/>
    </xf>
    <xf numFmtId="1" fontId="0" fillId="0" borderId="0" xfId="16" applyNumberFormat="1" applyFont="1" applyAlignment="1">
      <alignment vertical="top" wrapText="1"/>
    </xf>
    <xf numFmtId="1" fontId="0" fillId="0" borderId="0" xfId="0" applyNumberFormat="1" applyFont="1" applyAlignment="1">
      <alignment vertical="top" wrapText="1"/>
    </xf>
    <xf numFmtId="0" fontId="20" fillId="0" borderId="0" xfId="0" applyFont="1" applyAlignment="1">
      <alignment vertical="top" wrapText="1"/>
    </xf>
    <xf numFmtId="1" fontId="0" fillId="0" borderId="1" xfId="16" applyNumberFormat="1" applyFont="1" applyBorder="1" applyAlignment="1">
      <alignment vertical="top" wrapText="1"/>
    </xf>
    <xf numFmtId="44" fontId="0" fillId="0" borderId="0" xfId="15" applyFont="1" applyAlignment="1">
      <alignment vertical="top" wrapText="1"/>
    </xf>
    <xf numFmtId="44" fontId="20" fillId="0" borderId="0" xfId="15" applyFont="1" applyAlignment="1">
      <alignment vertical="top" wrapText="1"/>
    </xf>
    <xf numFmtId="0" fontId="3" fillId="7" borderId="0" xfId="0" applyFont="1" applyFill="1" applyAlignment="1">
      <alignment vertical="top" wrapText="1"/>
    </xf>
    <xf numFmtId="0" fontId="0" fillId="0" borderId="1" xfId="0" applyFont="1" applyBorder="1" applyAlignment="1">
      <alignment vertical="top" wrapText="1"/>
    </xf>
    <xf numFmtId="9" fontId="0" fillId="0" borderId="18" xfId="16" applyFont="1" applyBorder="1" applyAlignment="1">
      <alignment vertical="top" wrapText="1"/>
    </xf>
    <xf numFmtId="0" fontId="3" fillId="12" borderId="6" xfId="0" applyFont="1" applyFill="1" applyBorder="1" applyAlignment="1" applyProtection="1">
      <alignment horizontal="center" vertical="center" wrapText="1"/>
    </xf>
    <xf numFmtId="0" fontId="16" fillId="0" borderId="0" xfId="0" applyFont="1" applyAlignment="1" applyProtection="1">
      <alignment horizontal="center" vertical="top" wrapText="1"/>
    </xf>
    <xf numFmtId="0" fontId="15" fillId="2" borderId="0" xfId="0" applyFont="1" applyFill="1" applyAlignment="1" applyProtection="1">
      <alignment horizontal="center" vertical="center" wrapText="1"/>
    </xf>
    <xf numFmtId="0" fontId="17" fillId="2" borderId="0" xfId="0" applyFont="1" applyFill="1" applyAlignment="1" applyProtection="1">
      <alignment horizontal="center" wrapText="1"/>
    </xf>
    <xf numFmtId="0" fontId="3" fillId="0" borderId="0" xfId="0" applyFont="1" applyAlignment="1" applyProtection="1">
      <alignment horizontal="center" vertical="center" wrapText="1"/>
    </xf>
    <xf numFmtId="0" fontId="9" fillId="2" borderId="0" xfId="0" applyFont="1" applyFill="1" applyAlignment="1" applyProtection="1">
      <alignment horizontal="center" vertical="center" wrapText="1"/>
    </xf>
    <xf numFmtId="0" fontId="3" fillId="2" borderId="3" xfId="0" applyFont="1" applyFill="1" applyBorder="1" applyAlignment="1" applyProtection="1">
      <alignment horizontal="center" vertical="center" wrapText="1"/>
    </xf>
    <xf numFmtId="0" fontId="10" fillId="0" borderId="1" xfId="0" applyFont="1" applyBorder="1" applyAlignment="1" applyProtection="1">
      <alignment horizontal="center" vertical="center" textRotation="90" wrapText="1"/>
    </xf>
    <xf numFmtId="0" fontId="11" fillId="2" borderId="25" xfId="0" applyFont="1" applyFill="1" applyBorder="1" applyAlignment="1" applyProtection="1">
      <alignment horizontal="center" vertical="center" wrapText="1"/>
    </xf>
    <xf numFmtId="0" fontId="11" fillId="2" borderId="26" xfId="0" applyFont="1" applyFill="1" applyBorder="1" applyAlignment="1" applyProtection="1">
      <alignment horizontal="center" vertical="center" wrapText="1"/>
    </xf>
    <xf numFmtId="0" fontId="11" fillId="2" borderId="18" xfId="0" applyFont="1" applyFill="1" applyBorder="1" applyAlignment="1" applyProtection="1">
      <alignment horizontal="center" vertical="center" wrapText="1"/>
    </xf>
    <xf numFmtId="0" fontId="5" fillId="0" borderId="12" xfId="0" applyFont="1" applyBorder="1" applyAlignment="1" applyProtection="1">
      <alignment horizontal="center" vertical="center" wrapText="1"/>
    </xf>
    <xf numFmtId="0" fontId="10" fillId="0" borderId="12" xfId="0" applyFont="1" applyBorder="1" applyAlignment="1" applyProtection="1">
      <alignment horizontal="center" vertical="center" wrapText="1"/>
    </xf>
    <xf numFmtId="0" fontId="3" fillId="12" borderId="6" xfId="0" applyFont="1" applyFill="1" applyBorder="1" applyAlignment="1" applyProtection="1">
      <alignment horizontal="center" vertical="center" wrapText="1"/>
    </xf>
    <xf numFmtId="0" fontId="3" fillId="12" borderId="16" xfId="0" applyFont="1" applyFill="1" applyBorder="1" applyAlignment="1" applyProtection="1">
      <alignment horizontal="center" vertical="center" wrapText="1"/>
    </xf>
    <xf numFmtId="0" fontId="3" fillId="2" borderId="17" xfId="0" applyFont="1" applyFill="1" applyBorder="1" applyAlignment="1" applyProtection="1">
      <alignment horizontal="center" vertical="center" wrapText="1"/>
      <protection locked="0"/>
    </xf>
    <xf numFmtId="0" fontId="10" fillId="9" borderId="5" xfId="0" applyFont="1" applyFill="1" applyBorder="1" applyAlignment="1" applyProtection="1">
      <alignment horizontal="center" vertical="center" wrapText="1"/>
    </xf>
    <xf numFmtId="0" fontId="10" fillId="8" borderId="5" xfId="0" applyFont="1" applyFill="1" applyBorder="1" applyAlignment="1" applyProtection="1">
      <alignment horizontal="center" vertical="center" wrapText="1"/>
    </xf>
    <xf numFmtId="0" fontId="10" fillId="7" borderId="5" xfId="0" applyFont="1" applyFill="1" applyBorder="1" applyAlignment="1" applyProtection="1">
      <alignment horizontal="center" vertical="center" wrapText="1"/>
    </xf>
    <xf numFmtId="0" fontId="10" fillId="3" borderId="5" xfId="0" applyFont="1" applyFill="1" applyBorder="1" applyAlignment="1" applyProtection="1">
      <alignment horizontal="center" vertical="center" wrapText="1"/>
    </xf>
    <xf numFmtId="0" fontId="10" fillId="6" borderId="5" xfId="0" applyFont="1" applyFill="1" applyBorder="1" applyAlignment="1" applyProtection="1">
      <alignment horizontal="center" vertical="center" wrapText="1"/>
    </xf>
    <xf numFmtId="0" fontId="10" fillId="11" borderId="5" xfId="0" applyFont="1" applyFill="1" applyBorder="1" applyAlignment="1" applyProtection="1">
      <alignment horizontal="center" vertical="center" wrapText="1"/>
    </xf>
    <xf numFmtId="0" fontId="10" fillId="13" borderId="5" xfId="0" applyFont="1" applyFill="1" applyBorder="1" applyAlignment="1" applyProtection="1">
      <alignment horizontal="center" vertical="center" wrapText="1"/>
    </xf>
    <xf numFmtId="0" fontId="10" fillId="10" borderId="5" xfId="0" applyFont="1" applyFill="1" applyBorder="1" applyAlignment="1" applyProtection="1">
      <alignment horizontal="center" vertical="center" wrapText="1"/>
    </xf>
    <xf numFmtId="0" fontId="3" fillId="14" borderId="9" xfId="0" applyFont="1" applyFill="1" applyBorder="1" applyAlignment="1" applyProtection="1">
      <alignment horizontal="center" vertical="center" wrapText="1"/>
    </xf>
    <xf numFmtId="0" fontId="3" fillId="14" borderId="0" xfId="0" applyFont="1" applyFill="1" applyAlignment="1">
      <alignment horizontal="center" vertical="center" wrapText="1"/>
    </xf>
    <xf numFmtId="9" fontId="0" fillId="0" borderId="1" xfId="16" applyFont="1" applyBorder="1" applyAlignment="1">
      <alignment vertical="top" wrapText="1"/>
    </xf>
    <xf numFmtId="8" fontId="3" fillId="0" borderId="13" xfId="0" applyNumberFormat="1" applyFont="1" applyBorder="1" applyAlignment="1" applyProtection="1">
      <alignment horizontal="center" vertical="center" wrapText="1"/>
    </xf>
    <xf numFmtId="0" fontId="3" fillId="4" borderId="11" xfId="0" applyFont="1" applyFill="1" applyBorder="1" applyAlignment="1" applyProtection="1">
      <alignment horizontal="center" vertical="center" wrapText="1"/>
    </xf>
    <xf numFmtId="0" fontId="3" fillId="4" borderId="12" xfId="0" applyFont="1" applyFill="1" applyBorder="1" applyAlignment="1" applyProtection="1">
      <alignment horizontal="center" vertical="center" wrapText="1"/>
    </xf>
    <xf numFmtId="0" fontId="3" fillId="4" borderId="27" xfId="0" applyFont="1" applyFill="1" applyBorder="1" applyAlignment="1" applyProtection="1">
      <alignment horizontal="center" vertical="center" wrapText="1"/>
    </xf>
    <xf numFmtId="0" fontId="3" fillId="4" borderId="1" xfId="0" applyFont="1" applyFill="1" applyBorder="1" applyAlignment="1" applyProtection="1">
      <alignment horizontal="center" vertical="center" wrapText="1"/>
    </xf>
    <xf numFmtId="0" fontId="3" fillId="4" borderId="28" xfId="0" applyFont="1" applyFill="1" applyBorder="1" applyAlignment="1" applyProtection="1">
      <alignment horizontal="center" vertical="center" wrapText="1"/>
    </xf>
    <xf numFmtId="8" fontId="3" fillId="0" borderId="15" xfId="0" applyNumberFormat="1" applyFont="1" applyBorder="1" applyAlignment="1" applyProtection="1">
      <alignment horizontal="center" vertical="center" wrapText="1"/>
    </xf>
    <xf numFmtId="0" fontId="3" fillId="12" borderId="5" xfId="0" applyFont="1" applyFill="1" applyBorder="1" applyAlignment="1" applyProtection="1">
      <alignment horizontal="center" vertical="center" wrapText="1"/>
    </xf>
  </cellXfs>
  <cellStyles count="17">
    <cellStyle name="Currency" xfId="15" builtinId="4"/>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Normal" xfId="0" builtinId="0"/>
    <cellStyle name="Percent" xfId="16" builtinId="5"/>
  </cellStyles>
  <dxfs count="0"/>
  <tableStyles count="0" defaultPivotStyle="PivotStyleMedium4"/>
  <colors>
    <indexedColors>
      <rgbColor rgb="FF000000"/>
      <rgbColor rgb="FFFFFFFF"/>
      <rgbColor rgb="FFFF0000"/>
      <rgbColor rgb="FF00FF00"/>
      <rgbColor rgb="FF0000FF"/>
      <rgbColor rgb="FFFFFF00"/>
      <rgbColor rgb="FFFF00FF"/>
      <rgbColor rgb="FF00FFFF"/>
      <rgbColor rgb="FF000000"/>
      <rgbColor rgb="FFAAAAAA"/>
      <rgbColor rgb="FFFFFF00"/>
      <rgbColor rgb="FFFFCC00"/>
      <rgbColor rgb="FFFFFFFF"/>
      <rgbColor rgb="FFC0C0C0"/>
      <rgbColor rgb="FFFF8080"/>
      <rgbColor rgb="FF008080"/>
      <rgbColor rgb="FF90713A"/>
      <rgbColor rgb="FF00ABEA"/>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C5D9F1"/>
      <color rgb="FFF8E5AA"/>
      <color rgb="FFF9EAB9"/>
      <color rgb="FFCFF0A6"/>
      <color rgb="FFD6BBEB"/>
      <color rgb="FFFFB7B7"/>
      <color rgb="FF006600"/>
      <color rgb="FF0070C0"/>
      <color rgb="FF81B95B"/>
      <color rgb="FF70AA4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Chance Heare" id="{2059FADE-0F5A-49A3-89B7-43F79DFC0659}" userId="S::chance.heare@sebrands.com::0341a0ea-5f58-46a8-b650-1d006e483b0b" providerId="AD"/>
</personList>
</file>

<file path=xl/theme/_rels/theme1.x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Blank">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Blank">
      <a:majorFont>
        <a:latin typeface="Helvetica"/>
        <a:ea typeface="Helvetica"/>
        <a:cs typeface="Helvetica"/>
      </a:majorFont>
      <a:minorFont>
        <a:latin typeface="Helvetica"/>
        <a:ea typeface="Helvetica"/>
        <a:cs typeface="Helvetic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5400" dir="5400000" rotWithShape="0">
              <a:srgbClr val="000000">
                <a:alpha val="50000"/>
              </a:srgbClr>
            </a:outerShdw>
          </a:effectLst>
        </a:effectStyle>
        <a:effectStyle>
          <a:effectLst>
            <a:outerShdw blurRad="38100" dist="25400" dir="5400000" rotWithShape="0">
              <a:srgbClr val="000000">
                <a:alpha val="50000"/>
              </a:srgbClr>
            </a:outerShdw>
          </a:effectLst>
        </a:effectStyle>
        <a:effectStyle>
          <a:effectLst>
            <a:outerShdw blurRad="38100" dist="25400" dir="5400000" rotWithShape="0">
              <a:srgbClr val="000000">
                <a:alpha val="50000"/>
              </a:srgbClr>
            </a:outerShdw>
          </a:effectLst>
        </a:effectStyle>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lipFill rotWithShape="1">
          <a:blip xmlns:r="http://schemas.openxmlformats.org/officeDocument/2006/relationships" r:embed="rId1"/>
          <a:srcRect/>
          <a:tile tx="0" ty="0" sx="100000" sy="100000" flip="none" algn="tl"/>
        </a:blipFill>
        <a:ln w="12700" cap="flat">
          <a:noFill/>
          <a:miter lim="400000"/>
        </a:ln>
        <a:effectLst>
          <a:outerShdw blurRad="38100" dist="25400" dir="5400000" rotWithShape="0">
            <a:srgbClr val="000000">
              <a:alpha val="50000"/>
            </a:srgbClr>
          </a:outerShdw>
        </a:effectLst>
      </a:spPr>
      <a:bodyPr rot="0" spcFirstLastPara="1" vertOverflow="overflow" horzOverflow="overflow" vert="horz" wrap="square" lIns="50800" tIns="50800" rIns="50800" bIns="50800" numCol="1" spcCol="38100" rtlCol="0" anchor="ctr">
        <a:spAutoFit/>
      </a:bodyPr>
      <a:lstStyle>
        <a:defPPr marL="0" marR="0" indent="0" algn="ctr" defTabSz="457200" rtl="0" fontAlgn="auto" latinLnBrk="1" hangingPunct="0">
          <a:lnSpc>
            <a:spcPct val="100000"/>
          </a:lnSpc>
          <a:spcBef>
            <a:spcPts val="0"/>
          </a:spcBef>
          <a:spcAft>
            <a:spcPts val="0"/>
          </a:spcAft>
          <a:buClrTx/>
          <a:buSzTx/>
          <a:buFontTx/>
          <a:buNone/>
          <a:tabLst/>
          <a:defRPr kumimoji="0" sz="1200" b="0" i="0" u="none" strike="noStrike" cap="none" spc="0" normalizeH="0" baseline="0">
            <a:ln>
              <a:noFill/>
            </a:ln>
            <a:solidFill>
              <a:srgbClr val="FFFFFF"/>
            </a:solidFill>
            <a:effectLst>
              <a:outerShdw blurRad="25400" dist="23998" dir="2700000" rotWithShape="0">
                <a:srgbClr val="000000">
                  <a:alpha val="31034"/>
                </a:srgbClr>
              </a:outerShdw>
            </a:effectLst>
            <a:uFillTx/>
            <a:latin typeface="+mn-lt"/>
            <a:ea typeface="+mn-ea"/>
            <a:cs typeface="+mn-cs"/>
            <a:sym typeface="Helvetica"/>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6350" cap="flat">
          <a:solidFill>
            <a:srgbClr val="000000"/>
          </a:solidFill>
          <a:prstDash val="solid"/>
          <a:miter lim="400000"/>
        </a:ln>
        <a:effectLst/>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1"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F3" dT="2020-08-03T22:15:27.46" personId="{2059FADE-0F5A-49A3-89B7-43F79DFC0659}" id="{D6B8D9CB-068B-4884-9449-3C54BE70091E}">
    <text>Price per session at 2x per month</text>
  </threadedComment>
</ThreadedComments>
</file>

<file path=xl/threadedComments/threadedComment2.xml><?xml version="1.0" encoding="utf-8"?>
<ThreadedComments xmlns="http://schemas.microsoft.com/office/spreadsheetml/2018/threadedcomments" xmlns:x="http://schemas.openxmlformats.org/spreadsheetml/2006/main">
  <threadedComment ref="F3" dT="2020-08-03T22:15:27.46" personId="{2059FADE-0F5A-49A3-89B7-43F79DFC0659}" id="{4C7AD934-F43F-4B4D-950A-AAC64168BD0A}">
    <text>Price per session at 2x per month</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32"/>
  <sheetViews>
    <sheetView showGridLines="0" tabSelected="1" zoomScaleNormal="100" workbookViewId="0">
      <selection activeCell="P10" sqref="P10"/>
    </sheetView>
  </sheetViews>
  <sheetFormatPr defaultColWidth="9.07421875" defaultRowHeight="14.4" x14ac:dyDescent="0.3"/>
  <cols>
    <col min="1" max="1" width="2.69140625" style="26" customWidth="1"/>
    <col min="2" max="2" width="10.3828125" style="26" customWidth="1"/>
    <col min="3" max="14" width="9.3828125" style="26" customWidth="1"/>
    <col min="15" max="16384" width="9.07421875" style="26"/>
  </cols>
  <sheetData>
    <row r="1" spans="1:17" s="1" customFormat="1" ht="34.5" customHeight="1" thickBot="1" x14ac:dyDescent="0.35">
      <c r="B1" s="128" t="s">
        <v>48</v>
      </c>
      <c r="C1" s="128"/>
      <c r="D1" s="128"/>
      <c r="E1" s="8"/>
      <c r="F1" s="125" t="s">
        <v>35</v>
      </c>
      <c r="G1" s="125"/>
      <c r="H1" s="125"/>
      <c r="I1" s="12"/>
      <c r="J1" s="126"/>
      <c r="K1" s="12"/>
      <c r="L1" s="126"/>
      <c r="M1" s="27"/>
      <c r="N1" s="2"/>
      <c r="O1" s="27"/>
    </row>
    <row r="2" spans="1:17" s="1" customFormat="1" ht="15" customHeight="1" thickTop="1" thickBot="1" x14ac:dyDescent="0.35">
      <c r="B2" s="131" t="s">
        <v>33</v>
      </c>
      <c r="C2" s="132"/>
      <c r="D2" s="133"/>
      <c r="E2" s="3"/>
      <c r="F2" s="3"/>
      <c r="G2" s="4"/>
      <c r="H2" s="4"/>
      <c r="I2" s="3"/>
      <c r="J2" s="126"/>
      <c r="K2" s="4"/>
      <c r="L2" s="126"/>
      <c r="M2" s="4"/>
      <c r="N2" s="4"/>
      <c r="O2" s="7"/>
    </row>
    <row r="3" spans="1:17" s="1" customFormat="1" ht="15" customHeight="1" thickTop="1" thickBot="1" x14ac:dyDescent="0.35">
      <c r="B3" s="9"/>
      <c r="C3" s="10"/>
      <c r="D3" s="10"/>
      <c r="E3" s="10"/>
      <c r="F3" s="6"/>
      <c r="I3" s="6"/>
      <c r="L3" s="6"/>
      <c r="O3" s="5"/>
    </row>
    <row r="4" spans="1:17" ht="30" thickTop="1" thickBot="1" x14ac:dyDescent="0.35">
      <c r="B4" s="28">
        <v>15</v>
      </c>
      <c r="C4" s="28">
        <v>20</v>
      </c>
      <c r="D4" s="28">
        <v>30</v>
      </c>
      <c r="E4" s="28">
        <v>40</v>
      </c>
      <c r="F4" s="28">
        <v>60</v>
      </c>
      <c r="H4" s="21" t="s">
        <v>2</v>
      </c>
      <c r="I4" s="23" t="s">
        <v>49</v>
      </c>
    </row>
    <row r="5" spans="1:17" ht="29.4" customHeight="1" thickTop="1" thickBot="1" x14ac:dyDescent="0.35">
      <c r="B5" s="136" t="s">
        <v>41</v>
      </c>
      <c r="C5" s="137"/>
      <c r="D5" s="138"/>
      <c r="E5" s="138"/>
      <c r="F5" s="29">
        <f>D5/75</f>
        <v>0</v>
      </c>
      <c r="G5" s="30" t="s">
        <v>59</v>
      </c>
      <c r="H5" s="100">
        <f>D10/D8</f>
        <v>0</v>
      </c>
      <c r="I5" s="101" t="e">
        <f>E10/E8</f>
        <v>#DIV/0!</v>
      </c>
      <c r="J5" s="30"/>
      <c r="K5" s="31"/>
    </row>
    <row r="6" spans="1:17" ht="15.6" thickTop="1" thickBot="1" x14ac:dyDescent="0.35">
      <c r="D6" s="32"/>
      <c r="E6" s="32"/>
    </row>
    <row r="7" spans="1:17" ht="29.4" customHeight="1" thickTop="1" thickBot="1" x14ac:dyDescent="0.35">
      <c r="B7" s="33" t="s">
        <v>46</v>
      </c>
      <c r="C7" s="34" t="s">
        <v>54</v>
      </c>
      <c r="D7" s="21" t="s">
        <v>2</v>
      </c>
      <c r="E7" s="23" t="s">
        <v>49</v>
      </c>
      <c r="G7" s="153" t="s">
        <v>26</v>
      </c>
      <c r="H7" s="154"/>
      <c r="I7" s="154"/>
      <c r="J7" s="155"/>
      <c r="K7" s="151" t="s">
        <v>27</v>
      </c>
      <c r="L7" s="152"/>
      <c r="M7" s="152"/>
      <c r="N7" s="152"/>
    </row>
    <row r="8" spans="1:17" ht="30" thickTop="1" thickBot="1" x14ac:dyDescent="0.35">
      <c r="B8" s="35" t="s">
        <v>82</v>
      </c>
      <c r="C8" s="36">
        <v>1</v>
      </c>
      <c r="D8" s="37">
        <v>4</v>
      </c>
      <c r="E8" s="24" t="str">
        <f>IF(F5&lt;8,"0",IF(F5&gt;=8,F5))</f>
        <v>0</v>
      </c>
      <c r="G8" s="38" t="s">
        <v>20</v>
      </c>
      <c r="H8" s="39" t="s">
        <v>23</v>
      </c>
      <c r="I8" s="38" t="s">
        <v>34</v>
      </c>
      <c r="J8" s="38" t="s">
        <v>89</v>
      </c>
      <c r="K8" s="123" t="s">
        <v>20</v>
      </c>
      <c r="L8" s="123" t="s">
        <v>23</v>
      </c>
      <c r="M8" s="157" t="s">
        <v>24</v>
      </c>
      <c r="N8" s="157" t="s">
        <v>88</v>
      </c>
    </row>
    <row r="9" spans="1:17" ht="26.4" customHeight="1" thickTop="1" thickBot="1" x14ac:dyDescent="0.35">
      <c r="B9" s="40" t="s">
        <v>83</v>
      </c>
      <c r="C9" s="102">
        <v>60</v>
      </c>
      <c r="D9" s="103">
        <f>IF(D5&lt;=599, D4, IF(AND(D5&gt;=600,D5&lt;=899), E4, IF(D5&gt;=900,D4)))</f>
        <v>30</v>
      </c>
      <c r="E9" s="104" t="str">
        <f>IF(D5&lt;=599, "0", IF(AND(D5&gt;=600,D5&lt;=899), C4, IF(D5&gt;=900,B4)))</f>
        <v>0</v>
      </c>
      <c r="G9" s="42">
        <f>SUM(L25:L29)</f>
        <v>0</v>
      </c>
      <c r="H9" s="41">
        <f>SUM(M25:M29)</f>
        <v>0</v>
      </c>
      <c r="I9" s="25">
        <f>F21+I21+L21</f>
        <v>0</v>
      </c>
      <c r="J9" s="25">
        <f>G9-H9</f>
        <v>0</v>
      </c>
      <c r="K9" s="43">
        <f>G9*12</f>
        <v>0</v>
      </c>
      <c r="L9" s="156">
        <f>H9*12</f>
        <v>0</v>
      </c>
      <c r="M9" s="44" t="e">
        <f>(K9-L9)/K9</f>
        <v>#DIV/0!</v>
      </c>
      <c r="N9" s="150">
        <f>K9-L9</f>
        <v>0</v>
      </c>
    </row>
    <row r="10" spans="1:17" s="95" customFormat="1" ht="26.4" customHeight="1" thickTop="1" thickBot="1" x14ac:dyDescent="0.35">
      <c r="B10" s="40" t="s">
        <v>60</v>
      </c>
      <c r="C10" s="105"/>
      <c r="D10" s="105"/>
      <c r="E10" s="105"/>
      <c r="G10" s="97"/>
      <c r="H10" s="96"/>
      <c r="I10" s="98"/>
      <c r="K10" s="97"/>
      <c r="L10" s="97"/>
      <c r="M10" s="99"/>
    </row>
    <row r="11" spans="1:17" s="95" customFormat="1" ht="26.4" customHeight="1" thickTop="1" thickBot="1" x14ac:dyDescent="0.35">
      <c r="B11" s="40" t="s">
        <v>22</v>
      </c>
      <c r="C11" s="106"/>
      <c r="D11" s="107"/>
      <c r="E11" s="107"/>
      <c r="G11" s="97"/>
      <c r="H11" s="96"/>
      <c r="I11" s="98"/>
      <c r="K11" s="97"/>
      <c r="L11" s="97"/>
      <c r="M11" s="99"/>
    </row>
    <row r="12" spans="1:17" ht="15" thickTop="1" x14ac:dyDescent="0.3">
      <c r="B12" s="45"/>
      <c r="C12" s="45"/>
      <c r="D12" s="45"/>
      <c r="E12" s="45"/>
      <c r="F12" s="45"/>
      <c r="G12" s="45"/>
    </row>
    <row r="13" spans="1:17" ht="19.5" customHeight="1" thickBot="1" x14ac:dyDescent="0.35">
      <c r="B13" s="45"/>
      <c r="C13" s="134" t="s">
        <v>31</v>
      </c>
      <c r="D13" s="134"/>
      <c r="E13" s="134"/>
      <c r="F13" s="134"/>
      <c r="G13" s="134"/>
      <c r="H13" s="134"/>
      <c r="I13" s="134"/>
      <c r="J13" s="134"/>
      <c r="K13" s="134"/>
      <c r="L13" s="134"/>
      <c r="M13" s="134"/>
      <c r="N13" s="134"/>
    </row>
    <row r="14" spans="1:17" ht="24" customHeight="1" thickTop="1" thickBot="1" x14ac:dyDescent="0.35">
      <c r="A14" s="130" t="s">
        <v>29</v>
      </c>
      <c r="B14" s="46"/>
      <c r="C14" s="145" t="s">
        <v>15</v>
      </c>
      <c r="D14" s="145"/>
      <c r="E14" s="145"/>
      <c r="F14" s="146" t="s">
        <v>54</v>
      </c>
      <c r="G14" s="146"/>
      <c r="H14" s="146"/>
      <c r="I14" s="143" t="s">
        <v>2</v>
      </c>
      <c r="J14" s="143"/>
      <c r="K14" s="143"/>
      <c r="L14" s="144" t="s">
        <v>49</v>
      </c>
      <c r="M14" s="144"/>
      <c r="N14" s="144"/>
      <c r="O14" s="129"/>
      <c r="P14" s="129"/>
      <c r="Q14" s="129"/>
    </row>
    <row r="15" spans="1:17" ht="48.6" customHeight="1" thickTop="1" thickBot="1" x14ac:dyDescent="0.35">
      <c r="A15" s="130"/>
      <c r="B15" s="46"/>
      <c r="C15" s="47" t="s">
        <v>3</v>
      </c>
      <c r="D15" s="47" t="s">
        <v>30</v>
      </c>
      <c r="E15" s="48" t="s">
        <v>14</v>
      </c>
      <c r="F15" s="49" t="s">
        <v>55</v>
      </c>
      <c r="G15" s="49" t="s">
        <v>56</v>
      </c>
      <c r="H15" s="50" t="s">
        <v>57</v>
      </c>
      <c r="I15" s="51" t="s">
        <v>42</v>
      </c>
      <c r="J15" s="51" t="s">
        <v>28</v>
      </c>
      <c r="K15" s="52" t="s">
        <v>13</v>
      </c>
      <c r="L15" s="53" t="s">
        <v>52</v>
      </c>
      <c r="M15" s="53" t="s">
        <v>50</v>
      </c>
      <c r="N15" s="54" t="s">
        <v>51</v>
      </c>
      <c r="O15" s="55"/>
      <c r="P15" s="56"/>
      <c r="Q15" s="56"/>
    </row>
    <row r="16" spans="1:17" ht="26.4" customHeight="1" thickTop="1" thickBot="1" x14ac:dyDescent="0.35">
      <c r="A16" s="130"/>
      <c r="B16" s="57" t="s">
        <v>0</v>
      </c>
      <c r="C16" s="82"/>
      <c r="D16" s="83"/>
      <c r="E16" s="58">
        <f>D16*C16</f>
        <v>0</v>
      </c>
      <c r="F16" s="89"/>
      <c r="G16" s="90"/>
      <c r="H16" s="59">
        <f>F16*G16</f>
        <v>0</v>
      </c>
      <c r="I16" s="89"/>
      <c r="J16" s="90"/>
      <c r="K16" s="60">
        <f>I16*J16</f>
        <v>0</v>
      </c>
      <c r="L16" s="82"/>
      <c r="M16" s="83"/>
      <c r="N16" s="61">
        <f>L16*M16</f>
        <v>0</v>
      </c>
      <c r="O16" s="62"/>
      <c r="P16" s="63"/>
      <c r="Q16" s="63"/>
    </row>
    <row r="17" spans="1:17" ht="26.4" customHeight="1" thickTop="1" thickBot="1" x14ac:dyDescent="0.35">
      <c r="A17" s="130"/>
      <c r="B17" s="64" t="s">
        <v>4</v>
      </c>
      <c r="C17" s="84"/>
      <c r="D17" s="85"/>
      <c r="E17" s="58">
        <f>D17*C17</f>
        <v>0</v>
      </c>
      <c r="F17" s="82"/>
      <c r="G17" s="83"/>
      <c r="H17" s="59">
        <f>F17*G17</f>
        <v>0</v>
      </c>
      <c r="I17" s="82"/>
      <c r="J17" s="83"/>
      <c r="K17" s="60">
        <f>I17*J17</f>
        <v>0</v>
      </c>
      <c r="L17" s="87"/>
      <c r="M17" s="91"/>
      <c r="N17" s="61">
        <f>L17*M17</f>
        <v>0</v>
      </c>
      <c r="O17" s="55"/>
      <c r="P17" s="56"/>
      <c r="Q17" s="56"/>
    </row>
    <row r="18" spans="1:17" ht="26.4" customHeight="1" thickTop="1" thickBot="1" x14ac:dyDescent="0.35">
      <c r="A18" s="130"/>
      <c r="B18" s="64" t="s">
        <v>5</v>
      </c>
      <c r="C18" s="82"/>
      <c r="D18" s="86"/>
      <c r="E18" s="58">
        <f>D18*C18</f>
        <v>0</v>
      </c>
      <c r="F18" s="84"/>
      <c r="G18" s="83"/>
      <c r="H18" s="59">
        <f>F18*G18</f>
        <v>0</v>
      </c>
      <c r="I18" s="84"/>
      <c r="J18" s="83"/>
      <c r="K18" s="60">
        <f>I18*J18</f>
        <v>0</v>
      </c>
      <c r="L18" s="82"/>
      <c r="M18" s="91"/>
      <c r="N18" s="61">
        <f>L18*M18</f>
        <v>0</v>
      </c>
      <c r="O18" s="55"/>
      <c r="P18" s="56"/>
      <c r="Q18" s="56"/>
    </row>
    <row r="19" spans="1:17" ht="26.4" customHeight="1" thickTop="1" thickBot="1" x14ac:dyDescent="0.35">
      <c r="A19" s="130"/>
      <c r="B19" s="64" t="s">
        <v>6</v>
      </c>
      <c r="C19" s="82"/>
      <c r="D19" s="86"/>
      <c r="E19" s="58">
        <f>D19*C19</f>
        <v>0</v>
      </c>
      <c r="F19" s="82"/>
      <c r="G19" s="83"/>
      <c r="H19" s="59">
        <f>F19*G19</f>
        <v>0</v>
      </c>
      <c r="I19" s="82"/>
      <c r="J19" s="83"/>
      <c r="K19" s="60">
        <f>I19*J19</f>
        <v>0</v>
      </c>
      <c r="L19" s="82"/>
      <c r="M19" s="91"/>
      <c r="N19" s="61">
        <f>L19*M19</f>
        <v>0</v>
      </c>
      <c r="O19" s="55"/>
      <c r="P19" s="56"/>
      <c r="Q19" s="56"/>
    </row>
    <row r="20" spans="1:17" ht="26.4" customHeight="1" thickTop="1" thickBot="1" x14ac:dyDescent="0.35">
      <c r="A20" s="130"/>
      <c r="B20" s="64" t="s">
        <v>7</v>
      </c>
      <c r="C20" s="87"/>
      <c r="D20" s="88"/>
      <c r="E20" s="58">
        <f>D20*C20</f>
        <v>0</v>
      </c>
      <c r="F20" s="87"/>
      <c r="G20" s="83"/>
      <c r="H20" s="59">
        <f>F20*G20</f>
        <v>0</v>
      </c>
      <c r="I20" s="87"/>
      <c r="J20" s="83"/>
      <c r="K20" s="60">
        <f>I20*J20</f>
        <v>0</v>
      </c>
      <c r="L20" s="87"/>
      <c r="M20" s="91"/>
      <c r="N20" s="61">
        <f>L20*M20</f>
        <v>0</v>
      </c>
      <c r="O20" s="55"/>
      <c r="P20" s="56"/>
      <c r="Q20" s="56"/>
    </row>
    <row r="21" spans="1:17" ht="15" thickTop="1" x14ac:dyDescent="0.3">
      <c r="F21" s="65">
        <f>(SUM(G16:G20))/2</f>
        <v>0</v>
      </c>
      <c r="G21" s="66" t="s">
        <v>36</v>
      </c>
      <c r="I21" s="65">
        <f>((SUM(J16:J20))*D10)/2</f>
        <v>0</v>
      </c>
      <c r="J21" s="66" t="s">
        <v>37</v>
      </c>
      <c r="L21" s="93">
        <f>((SUM(M16:M20))*E10)/2</f>
        <v>0</v>
      </c>
      <c r="M21" s="66" t="s">
        <v>53</v>
      </c>
    </row>
    <row r="22" spans="1:17" ht="15" thickBot="1" x14ac:dyDescent="0.35">
      <c r="C22" s="135" t="s">
        <v>32</v>
      </c>
      <c r="D22" s="135"/>
      <c r="E22" s="135"/>
      <c r="F22" s="135"/>
      <c r="G22" s="135"/>
      <c r="H22" s="135"/>
      <c r="I22" s="135"/>
      <c r="J22" s="135"/>
      <c r="K22" s="135"/>
      <c r="L22" s="135"/>
      <c r="M22" s="135"/>
      <c r="N22" s="135"/>
    </row>
    <row r="23" spans="1:17" ht="26.1" customHeight="1" thickTop="1" thickBot="1" x14ac:dyDescent="0.35">
      <c r="A23" s="130" t="s">
        <v>11</v>
      </c>
      <c r="B23" s="46"/>
      <c r="C23" s="139" t="s">
        <v>21</v>
      </c>
      <c r="D23" s="139"/>
      <c r="E23" s="139"/>
      <c r="F23" s="140" t="s">
        <v>10</v>
      </c>
      <c r="G23" s="140"/>
      <c r="H23" s="140"/>
      <c r="I23" s="141" t="s">
        <v>16</v>
      </c>
      <c r="J23" s="141"/>
      <c r="K23" s="141"/>
      <c r="L23" s="142" t="s">
        <v>25</v>
      </c>
      <c r="M23" s="142"/>
      <c r="N23" s="142"/>
      <c r="O23" s="67"/>
    </row>
    <row r="24" spans="1:17" ht="44.4" thickTop="1" thickBot="1" x14ac:dyDescent="0.35">
      <c r="A24" s="130"/>
      <c r="B24" s="46"/>
      <c r="C24" s="68" t="s">
        <v>54</v>
      </c>
      <c r="D24" s="68" t="s">
        <v>2</v>
      </c>
      <c r="E24" s="68" t="s">
        <v>49</v>
      </c>
      <c r="F24" s="69" t="s">
        <v>8</v>
      </c>
      <c r="G24" s="69" t="s">
        <v>9</v>
      </c>
      <c r="H24" s="70" t="s">
        <v>19</v>
      </c>
      <c r="I24" s="71" t="s">
        <v>12</v>
      </c>
      <c r="J24" s="71" t="s">
        <v>17</v>
      </c>
      <c r="K24" s="71" t="s">
        <v>18</v>
      </c>
      <c r="L24" s="72" t="s">
        <v>20</v>
      </c>
      <c r="M24" s="72" t="s">
        <v>23</v>
      </c>
      <c r="N24" s="72" t="s">
        <v>24</v>
      </c>
      <c r="O24" s="67"/>
    </row>
    <row r="25" spans="1:17" ht="26.4" customHeight="1" thickTop="1" thickBot="1" x14ac:dyDescent="0.35">
      <c r="A25" s="130"/>
      <c r="B25" s="73" t="s">
        <v>0</v>
      </c>
      <c r="C25" s="74">
        <f>(G16*$C$11)*4.3</f>
        <v>0</v>
      </c>
      <c r="D25" s="74">
        <f>((J16*$D$11)*$D$10)*4.3</f>
        <v>0</v>
      </c>
      <c r="E25" s="75">
        <f>((M16*$E$11)*$E$10)*4.3</f>
        <v>0</v>
      </c>
      <c r="F25" s="92"/>
      <c r="G25" s="92"/>
      <c r="H25" s="76">
        <f>(F25*L25)+(G25*G9)</f>
        <v>0</v>
      </c>
      <c r="I25" s="77" t="e">
        <f>J25/(D16*4.3)</f>
        <v>#DIV/0!</v>
      </c>
      <c r="J25" s="78">
        <f>((E16+H16+K16+N16)*4.3)+H25</f>
        <v>0</v>
      </c>
      <c r="K25" s="77">
        <f>J25*12</f>
        <v>0</v>
      </c>
      <c r="L25" s="79">
        <f>C25+D25+E25</f>
        <v>0</v>
      </c>
      <c r="M25" s="80">
        <f>J25</f>
        <v>0</v>
      </c>
      <c r="N25" s="81" t="e">
        <f>(L25-M25)/L25</f>
        <v>#DIV/0!</v>
      </c>
      <c r="O25" s="67"/>
    </row>
    <row r="26" spans="1:17" ht="26.4" customHeight="1" thickTop="1" thickBot="1" x14ac:dyDescent="0.35">
      <c r="A26" s="130"/>
      <c r="B26" s="46" t="s">
        <v>4</v>
      </c>
      <c r="C26" s="74">
        <f t="shared" ref="C26:C29" si="0">(G17*$C$11)*4.3</f>
        <v>0</v>
      </c>
      <c r="D26" s="74">
        <f>((J17*$D$11)*$D$10)*4.3</f>
        <v>0</v>
      </c>
      <c r="E26" s="75">
        <f>((M17*$E$11)*$E$10)*4.3</f>
        <v>0</v>
      </c>
      <c r="F26" s="92"/>
      <c r="G26" s="92"/>
      <c r="H26" s="76">
        <f>(F26*L26)+(G26*L26)</f>
        <v>0</v>
      </c>
      <c r="I26" s="77" t="e">
        <f>J26/(D17*4.3)</f>
        <v>#DIV/0!</v>
      </c>
      <c r="J26" s="78">
        <f>((E17+H17+K17+N17)*4.3)+H26</f>
        <v>0</v>
      </c>
      <c r="K26" s="77">
        <f>J26*12</f>
        <v>0</v>
      </c>
      <c r="L26" s="79">
        <f>C26+D26+E26</f>
        <v>0</v>
      </c>
      <c r="M26" s="80">
        <f>J26</f>
        <v>0</v>
      </c>
      <c r="N26" s="81" t="e">
        <f>(L26-M26)/L26</f>
        <v>#DIV/0!</v>
      </c>
      <c r="O26" s="67"/>
    </row>
    <row r="27" spans="1:17" ht="26.4" customHeight="1" thickTop="1" thickBot="1" x14ac:dyDescent="0.35">
      <c r="A27" s="130"/>
      <c r="B27" s="46" t="s">
        <v>5</v>
      </c>
      <c r="C27" s="74">
        <f t="shared" si="0"/>
        <v>0</v>
      </c>
      <c r="D27" s="74">
        <f>((J18*$D$11)*$D$10)*4.3</f>
        <v>0</v>
      </c>
      <c r="E27" s="75">
        <f t="shared" ref="E27:E29" si="1">((M18*$E$11)*$E$10)*4.3</f>
        <v>0</v>
      </c>
      <c r="F27" s="92"/>
      <c r="G27" s="92"/>
      <c r="H27" s="76">
        <f>(F27*L27)+(G27*L27)</f>
        <v>0</v>
      </c>
      <c r="I27" s="77" t="e">
        <f>J27/(D18*4.3)</f>
        <v>#DIV/0!</v>
      </c>
      <c r="J27" s="78">
        <f>((E18+H18+K18+N18)*4.3)+H27</f>
        <v>0</v>
      </c>
      <c r="K27" s="77">
        <f>J27*12</f>
        <v>0</v>
      </c>
      <c r="L27" s="79">
        <f>C27+D27+E27</f>
        <v>0</v>
      </c>
      <c r="M27" s="80">
        <f>J27</f>
        <v>0</v>
      </c>
      <c r="N27" s="81" t="e">
        <f>(L27-M27)/L27</f>
        <v>#DIV/0!</v>
      </c>
      <c r="O27" s="67"/>
    </row>
    <row r="28" spans="1:17" ht="26.4" customHeight="1" thickTop="1" thickBot="1" x14ac:dyDescent="0.35">
      <c r="A28" s="130"/>
      <c r="B28" s="46" t="s">
        <v>6</v>
      </c>
      <c r="C28" s="74">
        <f t="shared" si="0"/>
        <v>0</v>
      </c>
      <c r="D28" s="74">
        <f t="shared" ref="D28:D29" si="2">((J19*$D$11)*$D$10)*4.3</f>
        <v>0</v>
      </c>
      <c r="E28" s="75">
        <f>((M19*$E$11)*$E$10)*4.3</f>
        <v>0</v>
      </c>
      <c r="F28" s="92"/>
      <c r="G28" s="92"/>
      <c r="H28" s="76">
        <f>(F28*L28)+(G28*L28)</f>
        <v>0</v>
      </c>
      <c r="I28" s="77" t="e">
        <f>J28/(D19*4.3)</f>
        <v>#DIV/0!</v>
      </c>
      <c r="J28" s="78">
        <f>((E19+H19+K19+N19)*4.3)+H28</f>
        <v>0</v>
      </c>
      <c r="K28" s="77">
        <f>J28*12</f>
        <v>0</v>
      </c>
      <c r="L28" s="79">
        <f>C28+D28+E28</f>
        <v>0</v>
      </c>
      <c r="M28" s="80">
        <f>J28</f>
        <v>0</v>
      </c>
      <c r="N28" s="81" t="e">
        <f>(L28-M28)/L28</f>
        <v>#DIV/0!</v>
      </c>
      <c r="O28" s="67"/>
    </row>
    <row r="29" spans="1:17" ht="26.4" customHeight="1" thickTop="1" thickBot="1" x14ac:dyDescent="0.35">
      <c r="A29" s="130"/>
      <c r="B29" s="46" t="s">
        <v>7</v>
      </c>
      <c r="C29" s="74">
        <f t="shared" si="0"/>
        <v>0</v>
      </c>
      <c r="D29" s="74">
        <f t="shared" si="2"/>
        <v>0</v>
      </c>
      <c r="E29" s="75">
        <f t="shared" si="1"/>
        <v>0</v>
      </c>
      <c r="F29" s="92"/>
      <c r="G29" s="92"/>
      <c r="H29" s="76">
        <f>(F29*L29)+(G29*L29)</f>
        <v>0</v>
      </c>
      <c r="I29" s="77" t="e">
        <f>J29/(D20*4.3)</f>
        <v>#DIV/0!</v>
      </c>
      <c r="J29" s="78">
        <f>((E20+H20+K20+N20)*4.3)+H29</f>
        <v>0</v>
      </c>
      <c r="K29" s="77">
        <f>J29*12</f>
        <v>0</v>
      </c>
      <c r="L29" s="79">
        <f>C29+D29+E29</f>
        <v>0</v>
      </c>
      <c r="M29" s="80">
        <f>J29</f>
        <v>0</v>
      </c>
      <c r="N29" s="81" t="e">
        <f>(L29-M29)/L29</f>
        <v>#DIV/0!</v>
      </c>
      <c r="O29" s="67"/>
    </row>
    <row r="30" spans="1:17" ht="15" thickTop="1" x14ac:dyDescent="0.3">
      <c r="M30" s="28">
        <f>SUM(M25:M29)</f>
        <v>0</v>
      </c>
    </row>
    <row r="31" spans="1:17" x14ac:dyDescent="0.3">
      <c r="L31" s="127"/>
      <c r="M31" s="127"/>
      <c r="N31" s="127"/>
    </row>
    <row r="32" spans="1:17" ht="64.5" customHeight="1" x14ac:dyDescent="0.3">
      <c r="B32" s="124" t="s">
        <v>1</v>
      </c>
      <c r="C32" s="124"/>
      <c r="D32" s="124"/>
      <c r="E32" s="124"/>
      <c r="F32" s="124"/>
      <c r="G32" s="124"/>
      <c r="H32" s="124"/>
      <c r="I32" s="124"/>
      <c r="J32" s="124"/>
      <c r="K32" s="124"/>
      <c r="L32" s="124"/>
      <c r="M32" s="124"/>
      <c r="N32" s="124"/>
      <c r="O32" s="124"/>
    </row>
  </sheetData>
  <sheetProtection selectLockedCells="1"/>
  <mergeCells count="24">
    <mergeCell ref="A14:A20"/>
    <mergeCell ref="A23:A29"/>
    <mergeCell ref="B2:D2"/>
    <mergeCell ref="C13:N13"/>
    <mergeCell ref="C22:N22"/>
    <mergeCell ref="B5:C5"/>
    <mergeCell ref="D5:E5"/>
    <mergeCell ref="C23:E23"/>
    <mergeCell ref="F23:H23"/>
    <mergeCell ref="I23:K23"/>
    <mergeCell ref="L23:N23"/>
    <mergeCell ref="I14:K14"/>
    <mergeCell ref="L14:N14"/>
    <mergeCell ref="C14:E14"/>
    <mergeCell ref="F14:H14"/>
    <mergeCell ref="K7:N7"/>
    <mergeCell ref="B32:O32"/>
    <mergeCell ref="F1:H1"/>
    <mergeCell ref="L1:L2"/>
    <mergeCell ref="J1:J2"/>
    <mergeCell ref="L31:N31"/>
    <mergeCell ref="B1:D1"/>
    <mergeCell ref="O14:Q14"/>
    <mergeCell ref="G7:J7"/>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EEF5F-BE7E-46F7-8EE2-2010C145F0D8}">
  <dimension ref="A1:P28"/>
  <sheetViews>
    <sheetView workbookViewId="0">
      <selection activeCell="C3" sqref="C2:C3"/>
    </sheetView>
  </sheetViews>
  <sheetFormatPr defaultRowHeight="16.2" x14ac:dyDescent="0.3"/>
  <cols>
    <col min="7" max="7" width="10.3046875" bestFit="1" customWidth="1"/>
    <col min="13" max="13" width="10.3828125" bestFit="1" customWidth="1"/>
    <col min="14" max="14" width="10.3046875" bestFit="1" customWidth="1"/>
    <col min="15" max="15" width="11.4609375" bestFit="1" customWidth="1"/>
  </cols>
  <sheetData>
    <row r="1" spans="1:16" ht="33" thickBot="1" x14ac:dyDescent="0.35">
      <c r="A1" t="s">
        <v>66</v>
      </c>
    </row>
    <row r="2" spans="1:16" ht="44.4" thickTop="1" thickBot="1" x14ac:dyDescent="0.35">
      <c r="A2" s="94" t="s">
        <v>47</v>
      </c>
      <c r="B2" s="19" t="s">
        <v>45</v>
      </c>
      <c r="C2" s="20" t="s">
        <v>43</v>
      </c>
      <c r="D2" s="21" t="s">
        <v>74</v>
      </c>
      <c r="E2" s="22" t="s">
        <v>39</v>
      </c>
      <c r="F2" s="17" t="s">
        <v>67</v>
      </c>
      <c r="G2" s="18" t="s">
        <v>40</v>
      </c>
      <c r="H2" s="11"/>
      <c r="I2" s="11"/>
      <c r="J2" s="11"/>
      <c r="K2" s="11"/>
      <c r="L2" s="11"/>
      <c r="O2" s="121"/>
      <c r="P2" s="121"/>
    </row>
    <row r="3" spans="1:16" ht="17.399999999999999" thickTop="1" thickBot="1" x14ac:dyDescent="0.35">
      <c r="A3" s="109">
        <f>'Coaching Proforma'!J16+'Coaching Proforma'!J17+'Coaching Proforma'!J18+'Coaching Proforma'!J19+'Coaching Proforma'!J20</f>
        <v>0</v>
      </c>
      <c r="B3">
        <f>(A3*'Coaching Proforma'!D10)/2</f>
        <v>0</v>
      </c>
      <c r="C3" s="112"/>
      <c r="D3" s="111"/>
      <c r="E3">
        <f>D3*B3</f>
        <v>0</v>
      </c>
      <c r="F3" s="118">
        <f>'Coaching Proforma'!D11*8</f>
        <v>0</v>
      </c>
      <c r="G3" s="118">
        <f>E3*F3</f>
        <v>0</v>
      </c>
    </row>
    <row r="4" spans="1:16" ht="16.8" thickTop="1" x14ac:dyDescent="0.3"/>
    <row r="5" spans="1:16" ht="33" thickBot="1" x14ac:dyDescent="0.35">
      <c r="A5" t="s">
        <v>63</v>
      </c>
    </row>
    <row r="6" spans="1:16" ht="49.8" thickTop="1" thickBot="1" x14ac:dyDescent="0.35">
      <c r="A6" s="13" t="s">
        <v>44</v>
      </c>
      <c r="B6" s="14" t="s">
        <v>58</v>
      </c>
      <c r="C6" s="147" t="s">
        <v>68</v>
      </c>
      <c r="D6" s="148" t="s">
        <v>85</v>
      </c>
      <c r="E6" s="15" t="s">
        <v>38</v>
      </c>
      <c r="F6" s="15" t="s">
        <v>69</v>
      </c>
      <c r="G6" s="16" t="s">
        <v>61</v>
      </c>
      <c r="H6" s="108" t="s">
        <v>62</v>
      </c>
      <c r="I6" s="108" t="s">
        <v>70</v>
      </c>
      <c r="J6" s="108" t="s">
        <v>71</v>
      </c>
      <c r="K6" s="17" t="s">
        <v>87</v>
      </c>
      <c r="L6" s="120" t="s">
        <v>75</v>
      </c>
      <c r="M6" s="120" t="s">
        <v>76</v>
      </c>
      <c r="N6" s="108" t="s">
        <v>72</v>
      </c>
      <c r="O6" s="108" t="s">
        <v>73</v>
      </c>
      <c r="P6" s="116" t="s">
        <v>84</v>
      </c>
    </row>
    <row r="7" spans="1:16" ht="17.399999999999999" thickTop="1" thickBot="1" x14ac:dyDescent="0.35">
      <c r="A7" s="110"/>
      <c r="B7" s="111"/>
      <c r="C7">
        <f>B7*A7</f>
        <v>0</v>
      </c>
      <c r="D7" s="110"/>
      <c r="E7" s="111"/>
      <c r="F7" s="114">
        <f>(C7+D7)*E7</f>
        <v>0</v>
      </c>
      <c r="G7" s="111"/>
      <c r="H7" s="115">
        <f>F7*G7</f>
        <v>0</v>
      </c>
      <c r="I7" s="111"/>
      <c r="J7" s="115">
        <f>F7*I7</f>
        <v>0</v>
      </c>
      <c r="K7">
        <f>B3</f>
        <v>0</v>
      </c>
      <c r="L7" s="149">
        <f>D3</f>
        <v>0</v>
      </c>
      <c r="M7" s="117">
        <f>K7*L7</f>
        <v>0</v>
      </c>
      <c r="N7" s="118">
        <f>(H7*F3)+(M7*F3)</f>
        <v>0</v>
      </c>
      <c r="O7" s="119">
        <f>N7</f>
        <v>0</v>
      </c>
      <c r="P7" s="113" t="e">
        <f>N7/SUM('Coaching Proforma'!D25:D29)</f>
        <v>#DIV/0!</v>
      </c>
    </row>
    <row r="8" spans="1:16" ht="16.8" thickTop="1" x14ac:dyDescent="0.3"/>
    <row r="9" spans="1:16" ht="33" thickBot="1" x14ac:dyDescent="0.35">
      <c r="A9" t="s">
        <v>64</v>
      </c>
    </row>
    <row r="10" spans="1:16" ht="49.8" thickTop="1" thickBot="1" x14ac:dyDescent="0.35">
      <c r="A10" s="13" t="s">
        <v>44</v>
      </c>
      <c r="B10" s="14" t="s">
        <v>58</v>
      </c>
      <c r="C10" s="14" t="s">
        <v>68</v>
      </c>
      <c r="D10" s="148" t="s">
        <v>85</v>
      </c>
      <c r="E10" s="15" t="s">
        <v>38</v>
      </c>
      <c r="F10" s="15" t="s">
        <v>69</v>
      </c>
      <c r="G10" s="16" t="s">
        <v>61</v>
      </c>
      <c r="H10" s="108" t="s">
        <v>62</v>
      </c>
      <c r="I10" s="108" t="s">
        <v>70</v>
      </c>
      <c r="J10" s="108" t="s">
        <v>71</v>
      </c>
      <c r="K10" s="17" t="s">
        <v>87</v>
      </c>
      <c r="L10" s="120" t="s">
        <v>75</v>
      </c>
      <c r="M10" s="120" t="s">
        <v>76</v>
      </c>
      <c r="N10" s="108" t="s">
        <v>72</v>
      </c>
      <c r="O10" s="108" t="s">
        <v>73</v>
      </c>
      <c r="P10" s="116" t="s">
        <v>84</v>
      </c>
    </row>
    <row r="11" spans="1:16" ht="17.399999999999999" thickTop="1" thickBot="1" x14ac:dyDescent="0.35">
      <c r="A11" s="110"/>
      <c r="B11" s="122"/>
      <c r="C11">
        <f>B11*A11</f>
        <v>0</v>
      </c>
      <c r="D11" s="110"/>
      <c r="E11" s="111"/>
      <c r="F11" s="114">
        <f>(C11+D11)*E11</f>
        <v>0</v>
      </c>
      <c r="G11" s="111"/>
      <c r="H11" s="115">
        <f>F11*G11</f>
        <v>0</v>
      </c>
      <c r="I11" s="111"/>
      <c r="J11" s="115">
        <f>F11*I11</f>
        <v>0</v>
      </c>
      <c r="K11" s="115">
        <f>J7</f>
        <v>0</v>
      </c>
      <c r="L11" s="111"/>
      <c r="M11" s="117">
        <f>K11*L11</f>
        <v>0</v>
      </c>
      <c r="N11" s="118">
        <f>(H11*F3)+(M11*F3)</f>
        <v>0</v>
      </c>
      <c r="O11" s="119">
        <f>N7+N11</f>
        <v>0</v>
      </c>
      <c r="P11" s="113" t="e">
        <f>O11/SUM('Coaching Proforma'!D25:D29)</f>
        <v>#DIV/0!</v>
      </c>
    </row>
    <row r="12" spans="1:16" ht="16.8" thickTop="1" x14ac:dyDescent="0.3"/>
    <row r="13" spans="1:16" ht="33" thickBot="1" x14ac:dyDescent="0.35">
      <c r="A13" t="s">
        <v>65</v>
      </c>
    </row>
    <row r="14" spans="1:16" ht="49.8" thickTop="1" thickBot="1" x14ac:dyDescent="0.35">
      <c r="A14" s="13" t="s">
        <v>44</v>
      </c>
      <c r="B14" s="14" t="s">
        <v>58</v>
      </c>
      <c r="C14" s="14" t="s">
        <v>68</v>
      </c>
      <c r="D14" s="148" t="s">
        <v>85</v>
      </c>
      <c r="E14" s="15" t="s">
        <v>38</v>
      </c>
      <c r="F14" s="15" t="s">
        <v>69</v>
      </c>
      <c r="G14" s="16" t="s">
        <v>61</v>
      </c>
      <c r="H14" s="108" t="s">
        <v>62</v>
      </c>
      <c r="I14" s="108" t="s">
        <v>70</v>
      </c>
      <c r="J14" s="108" t="s">
        <v>71</v>
      </c>
      <c r="K14" s="17" t="s">
        <v>87</v>
      </c>
      <c r="L14" s="120" t="s">
        <v>75</v>
      </c>
      <c r="M14" s="120" t="s">
        <v>76</v>
      </c>
      <c r="N14" s="108" t="s">
        <v>72</v>
      </c>
      <c r="O14" s="108" t="s">
        <v>73</v>
      </c>
      <c r="P14" s="116" t="s">
        <v>84</v>
      </c>
    </row>
    <row r="15" spans="1:16" ht="17.399999999999999" thickTop="1" thickBot="1" x14ac:dyDescent="0.35">
      <c r="A15" s="110"/>
      <c r="B15" s="122"/>
      <c r="C15">
        <f>B15*A15</f>
        <v>0</v>
      </c>
      <c r="D15" s="110"/>
      <c r="E15" s="111"/>
      <c r="F15" s="114">
        <f>(C15+D15)*E15</f>
        <v>0</v>
      </c>
      <c r="G15" s="111"/>
      <c r="H15" s="115">
        <f>F15*G15</f>
        <v>0</v>
      </c>
      <c r="I15" s="111"/>
      <c r="J15" s="115">
        <f>F15*I15</f>
        <v>0</v>
      </c>
      <c r="K15" s="115">
        <f>J11</f>
        <v>0</v>
      </c>
      <c r="L15" s="111"/>
      <c r="M15" s="117">
        <f>K15*L15</f>
        <v>0</v>
      </c>
      <c r="N15" s="118">
        <f>(H15*F3)+(M15*F3)</f>
        <v>0</v>
      </c>
      <c r="O15" s="119">
        <f>O11+N15</f>
        <v>0</v>
      </c>
      <c r="P15" s="113" t="e">
        <f>O15/SUM('Coaching Proforma'!$D$25:$D$29)</f>
        <v>#DIV/0!</v>
      </c>
    </row>
    <row r="16" spans="1:16" ht="16.8" thickTop="1" x14ac:dyDescent="0.3"/>
    <row r="17" spans="1:16" ht="33" thickBot="1" x14ac:dyDescent="0.35">
      <c r="A17" s="116" t="s">
        <v>78</v>
      </c>
    </row>
    <row r="18" spans="1:16" ht="49.8" thickTop="1" thickBot="1" x14ac:dyDescent="0.35">
      <c r="A18" s="13" t="s">
        <v>44</v>
      </c>
      <c r="B18" s="14" t="s">
        <v>58</v>
      </c>
      <c r="C18" s="14" t="s">
        <v>68</v>
      </c>
      <c r="D18" s="148" t="s">
        <v>85</v>
      </c>
      <c r="E18" s="15" t="s">
        <v>38</v>
      </c>
      <c r="F18" s="15" t="s">
        <v>69</v>
      </c>
      <c r="G18" s="16" t="s">
        <v>61</v>
      </c>
      <c r="H18" s="108" t="s">
        <v>62</v>
      </c>
      <c r="I18" s="108" t="s">
        <v>70</v>
      </c>
      <c r="J18" s="108" t="s">
        <v>71</v>
      </c>
      <c r="K18" s="17" t="s">
        <v>87</v>
      </c>
      <c r="L18" s="120" t="s">
        <v>75</v>
      </c>
      <c r="M18" s="120" t="s">
        <v>76</v>
      </c>
      <c r="N18" s="108" t="s">
        <v>72</v>
      </c>
      <c r="O18" s="108" t="s">
        <v>73</v>
      </c>
      <c r="P18" s="116" t="s">
        <v>84</v>
      </c>
    </row>
    <row r="19" spans="1:16" ht="17.399999999999999" thickTop="1" thickBot="1" x14ac:dyDescent="0.35">
      <c r="A19" s="110"/>
      <c r="B19" s="122"/>
      <c r="C19">
        <f>B19*A19</f>
        <v>0</v>
      </c>
      <c r="D19" s="110"/>
      <c r="E19" s="111"/>
      <c r="F19" s="114">
        <f>(C19+D19)*E19</f>
        <v>0</v>
      </c>
      <c r="G19" s="111"/>
      <c r="H19" s="115">
        <f>F19*G19</f>
        <v>0</v>
      </c>
      <c r="I19" s="111"/>
      <c r="J19" s="115">
        <f>F19*I19</f>
        <v>0</v>
      </c>
      <c r="K19" s="115">
        <f>J15</f>
        <v>0</v>
      </c>
      <c r="L19" s="111"/>
      <c r="M19" s="117">
        <f>K19*L19</f>
        <v>0</v>
      </c>
      <c r="N19" s="118">
        <f>(H19*F3)+(M19*F3)</f>
        <v>0</v>
      </c>
      <c r="O19" s="119">
        <f>O15+N19</f>
        <v>0</v>
      </c>
      <c r="P19" s="113" t="e">
        <f>O19/SUM('Coaching Proforma'!$D$25:$D$29)</f>
        <v>#DIV/0!</v>
      </c>
    </row>
    <row r="20" spans="1:16" ht="16.8" thickTop="1" x14ac:dyDescent="0.3"/>
    <row r="21" spans="1:16" ht="33" thickBot="1" x14ac:dyDescent="0.35">
      <c r="A21" s="116" t="s">
        <v>79</v>
      </c>
    </row>
    <row r="22" spans="1:16" ht="49.8" thickTop="1" thickBot="1" x14ac:dyDescent="0.35">
      <c r="A22" s="13" t="s">
        <v>44</v>
      </c>
      <c r="B22" s="14" t="s">
        <v>58</v>
      </c>
      <c r="C22" s="14" t="s">
        <v>68</v>
      </c>
      <c r="D22" s="148" t="s">
        <v>85</v>
      </c>
      <c r="E22" s="15" t="s">
        <v>38</v>
      </c>
      <c r="F22" s="15" t="s">
        <v>69</v>
      </c>
      <c r="G22" s="16" t="s">
        <v>61</v>
      </c>
      <c r="H22" s="108" t="s">
        <v>62</v>
      </c>
      <c r="I22" s="108" t="s">
        <v>70</v>
      </c>
      <c r="J22" s="108" t="s">
        <v>71</v>
      </c>
      <c r="K22" s="17" t="s">
        <v>87</v>
      </c>
      <c r="L22" s="120" t="s">
        <v>75</v>
      </c>
      <c r="M22" s="120" t="s">
        <v>76</v>
      </c>
      <c r="N22" s="108" t="s">
        <v>72</v>
      </c>
      <c r="O22" s="108" t="s">
        <v>73</v>
      </c>
      <c r="P22" s="116" t="s">
        <v>84</v>
      </c>
    </row>
    <row r="23" spans="1:16" ht="17.399999999999999" thickTop="1" thickBot="1" x14ac:dyDescent="0.35">
      <c r="A23" s="110"/>
      <c r="B23" s="122"/>
      <c r="C23">
        <f>B23*A23</f>
        <v>0</v>
      </c>
      <c r="D23" s="110"/>
      <c r="E23" s="111"/>
      <c r="F23" s="114">
        <f>(C23+D23)*E23</f>
        <v>0</v>
      </c>
      <c r="G23" s="111"/>
      <c r="H23" s="115">
        <f>F23*G23</f>
        <v>0</v>
      </c>
      <c r="I23" s="111"/>
      <c r="J23" s="115">
        <f>F23*I23</f>
        <v>0</v>
      </c>
      <c r="K23" s="115">
        <f>J19</f>
        <v>0</v>
      </c>
      <c r="L23" s="111"/>
      <c r="M23" s="117">
        <f>K23*L23</f>
        <v>0</v>
      </c>
      <c r="N23" s="118">
        <f>(H23*F3)+(M23*F3)</f>
        <v>0</v>
      </c>
      <c r="O23" s="119">
        <f>O19+N23</f>
        <v>0</v>
      </c>
      <c r="P23" s="113" t="e">
        <f>O23/SUM('Coaching Proforma'!$D$25:$D$29)</f>
        <v>#DIV/0!</v>
      </c>
    </row>
    <row r="24" spans="1:16" ht="16.8" thickTop="1" x14ac:dyDescent="0.3"/>
    <row r="25" spans="1:16" ht="33" thickBot="1" x14ac:dyDescent="0.35">
      <c r="A25" s="116" t="s">
        <v>80</v>
      </c>
    </row>
    <row r="26" spans="1:16" ht="49.8" thickTop="1" thickBot="1" x14ac:dyDescent="0.35">
      <c r="A26" s="13" t="s">
        <v>44</v>
      </c>
      <c r="B26" s="14" t="s">
        <v>58</v>
      </c>
      <c r="C26" s="14" t="s">
        <v>68</v>
      </c>
      <c r="D26" s="148" t="s">
        <v>85</v>
      </c>
      <c r="E26" s="15" t="s">
        <v>38</v>
      </c>
      <c r="F26" s="15" t="s">
        <v>69</v>
      </c>
      <c r="G26" s="16" t="s">
        <v>61</v>
      </c>
      <c r="H26" s="108" t="s">
        <v>62</v>
      </c>
      <c r="I26" s="108" t="s">
        <v>70</v>
      </c>
      <c r="J26" s="108" t="s">
        <v>71</v>
      </c>
      <c r="K26" s="17" t="s">
        <v>87</v>
      </c>
      <c r="L26" s="120" t="s">
        <v>75</v>
      </c>
      <c r="M26" s="120" t="s">
        <v>76</v>
      </c>
      <c r="N26" s="108" t="s">
        <v>72</v>
      </c>
      <c r="O26" s="108" t="s">
        <v>73</v>
      </c>
      <c r="P26" s="116" t="s">
        <v>84</v>
      </c>
    </row>
    <row r="27" spans="1:16" ht="17.399999999999999" thickTop="1" thickBot="1" x14ac:dyDescent="0.35">
      <c r="A27" s="110"/>
      <c r="B27" s="122"/>
      <c r="C27">
        <f>B27*A27</f>
        <v>0</v>
      </c>
      <c r="D27" s="110"/>
      <c r="E27" s="111"/>
      <c r="F27" s="114">
        <f>(C27+D27)*E27</f>
        <v>0</v>
      </c>
      <c r="G27" s="111"/>
      <c r="H27" s="115">
        <f>F27*G27</f>
        <v>0</v>
      </c>
      <c r="I27" s="111"/>
      <c r="J27" s="115">
        <f>F27*I27</f>
        <v>0</v>
      </c>
      <c r="K27" s="115">
        <f>J23</f>
        <v>0</v>
      </c>
      <c r="L27" s="111"/>
      <c r="M27" s="117">
        <f>K27*L27</f>
        <v>0</v>
      </c>
      <c r="N27" s="118">
        <f>(H27*F3)+(M27*F3)</f>
        <v>0</v>
      </c>
      <c r="O27" s="119">
        <f>O23+N27</f>
        <v>0</v>
      </c>
      <c r="P27" s="113" t="e">
        <f>O27/SUM('Coaching Proforma'!$D$25:$D$29)</f>
        <v>#DIV/0!</v>
      </c>
    </row>
    <row r="28" spans="1:16" ht="16.8" thickTop="1" x14ac:dyDescent="0.3"/>
  </sheetData>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EF476-0F05-4CBA-AB9F-335E1168297A}">
  <dimension ref="A1:P28"/>
  <sheetViews>
    <sheetView topLeftCell="A10" zoomScaleNormal="100" workbookViewId="0">
      <selection activeCell="E27" sqref="E27"/>
    </sheetView>
  </sheetViews>
  <sheetFormatPr defaultRowHeight="16.2" x14ac:dyDescent="0.3"/>
  <cols>
    <col min="7" max="7" width="10.3046875" bestFit="1" customWidth="1"/>
    <col min="13" max="13" width="10.3828125" bestFit="1" customWidth="1"/>
    <col min="14" max="14" width="10.3046875" bestFit="1" customWidth="1"/>
    <col min="15" max="15" width="11.4609375" bestFit="1" customWidth="1"/>
  </cols>
  <sheetData>
    <row r="1" spans="1:16" ht="33" thickBot="1" x14ac:dyDescent="0.35">
      <c r="A1" t="s">
        <v>66</v>
      </c>
    </row>
    <row r="2" spans="1:16" ht="44.4" thickTop="1" thickBot="1" x14ac:dyDescent="0.35">
      <c r="A2" s="94" t="s">
        <v>81</v>
      </c>
      <c r="B2" s="19" t="s">
        <v>45</v>
      </c>
      <c r="C2" s="20" t="s">
        <v>43</v>
      </c>
      <c r="D2" s="21" t="s">
        <v>74</v>
      </c>
      <c r="E2" s="22" t="s">
        <v>39</v>
      </c>
      <c r="F2" s="17" t="s">
        <v>67</v>
      </c>
      <c r="G2" s="18" t="s">
        <v>40</v>
      </c>
      <c r="H2" s="11"/>
      <c r="I2" s="11"/>
      <c r="J2" s="11"/>
      <c r="K2" s="11"/>
      <c r="L2" s="11"/>
    </row>
    <row r="3" spans="1:16" ht="17.399999999999999" thickTop="1" thickBot="1" x14ac:dyDescent="0.35">
      <c r="A3" s="109">
        <f>SUM('Coaching Proforma'!M16:M20)</f>
        <v>0</v>
      </c>
      <c r="B3" s="115">
        <f>(A3*'Coaching Proforma'!E10)/2</f>
        <v>0</v>
      </c>
      <c r="C3" s="112"/>
      <c r="D3" s="111"/>
      <c r="E3" s="115">
        <f>D3*B3</f>
        <v>0</v>
      </c>
      <c r="F3" s="118">
        <f>'Coaching Proforma'!E11*8</f>
        <v>0</v>
      </c>
      <c r="G3" s="118">
        <f>E3*F3</f>
        <v>0</v>
      </c>
    </row>
    <row r="4" spans="1:16" ht="16.8" thickTop="1" x14ac:dyDescent="0.3"/>
    <row r="5" spans="1:16" ht="33" thickBot="1" x14ac:dyDescent="0.35">
      <c r="A5" t="s">
        <v>63</v>
      </c>
    </row>
    <row r="6" spans="1:16" ht="44.4" thickTop="1" thickBot="1" x14ac:dyDescent="0.35">
      <c r="A6" s="13" t="s">
        <v>44</v>
      </c>
      <c r="B6" s="14" t="s">
        <v>58</v>
      </c>
      <c r="C6" s="14" t="s">
        <v>68</v>
      </c>
      <c r="D6" s="148" t="s">
        <v>86</v>
      </c>
      <c r="E6" s="15" t="s">
        <v>38</v>
      </c>
      <c r="F6" s="15" t="s">
        <v>69</v>
      </c>
      <c r="G6" s="16" t="s">
        <v>61</v>
      </c>
      <c r="H6" s="108" t="s">
        <v>62</v>
      </c>
      <c r="I6" s="108" t="s">
        <v>70</v>
      </c>
      <c r="J6" s="108" t="s">
        <v>71</v>
      </c>
      <c r="K6" s="17" t="s">
        <v>87</v>
      </c>
      <c r="L6" s="120" t="s">
        <v>75</v>
      </c>
      <c r="M6" s="120" t="s">
        <v>76</v>
      </c>
      <c r="N6" s="108" t="s">
        <v>72</v>
      </c>
      <c r="O6" s="108" t="s">
        <v>73</v>
      </c>
      <c r="P6" s="116" t="s">
        <v>77</v>
      </c>
    </row>
    <row r="7" spans="1:16" ht="17.399999999999999" thickTop="1" thickBot="1" x14ac:dyDescent="0.35">
      <c r="A7" s="110"/>
      <c r="B7" s="111"/>
      <c r="C7">
        <f>B7*A7</f>
        <v>0</v>
      </c>
      <c r="D7" s="110"/>
      <c r="E7" s="111"/>
      <c r="F7" s="114">
        <f>(C7+D7)*E7</f>
        <v>0</v>
      </c>
      <c r="G7" s="111"/>
      <c r="H7" s="115">
        <f>F7*G7</f>
        <v>0</v>
      </c>
      <c r="I7" s="111"/>
      <c r="J7" s="115">
        <f>F7*I7</f>
        <v>0</v>
      </c>
      <c r="K7" s="115">
        <f>B3</f>
        <v>0</v>
      </c>
      <c r="L7" s="149">
        <f>D3</f>
        <v>0</v>
      </c>
      <c r="M7" s="117">
        <f>K7*L7</f>
        <v>0</v>
      </c>
      <c r="N7" s="118">
        <f>(H7*F3)+(M7*F3)</f>
        <v>0</v>
      </c>
      <c r="O7" s="119">
        <f>N7</f>
        <v>0</v>
      </c>
      <c r="P7" s="113" t="e">
        <f>N7/SUM('Coaching Proforma'!E25:E29)</f>
        <v>#DIV/0!</v>
      </c>
    </row>
    <row r="8" spans="1:16" ht="16.8" thickTop="1" x14ac:dyDescent="0.3"/>
    <row r="9" spans="1:16" ht="33" thickBot="1" x14ac:dyDescent="0.35">
      <c r="A9" t="s">
        <v>64</v>
      </c>
    </row>
    <row r="10" spans="1:16" ht="44.4" thickTop="1" thickBot="1" x14ac:dyDescent="0.35">
      <c r="A10" s="13" t="s">
        <v>44</v>
      </c>
      <c r="B10" s="14" t="s">
        <v>58</v>
      </c>
      <c r="C10" s="14" t="s">
        <v>68</v>
      </c>
      <c r="D10" s="148" t="s">
        <v>86</v>
      </c>
      <c r="E10" s="15" t="s">
        <v>38</v>
      </c>
      <c r="F10" s="15" t="s">
        <v>69</v>
      </c>
      <c r="G10" s="16" t="s">
        <v>61</v>
      </c>
      <c r="H10" s="108" t="s">
        <v>62</v>
      </c>
      <c r="I10" s="108" t="s">
        <v>70</v>
      </c>
      <c r="J10" s="108" t="s">
        <v>71</v>
      </c>
      <c r="K10" s="17" t="s">
        <v>87</v>
      </c>
      <c r="L10" s="120" t="s">
        <v>75</v>
      </c>
      <c r="M10" s="120" t="s">
        <v>76</v>
      </c>
      <c r="N10" s="108" t="s">
        <v>72</v>
      </c>
      <c r="O10" s="108" t="s">
        <v>73</v>
      </c>
      <c r="P10" s="116" t="s">
        <v>77</v>
      </c>
    </row>
    <row r="11" spans="1:16" ht="17.399999999999999" thickTop="1" thickBot="1" x14ac:dyDescent="0.35">
      <c r="A11" s="110"/>
      <c r="B11" s="111"/>
      <c r="C11">
        <f>B11*A11</f>
        <v>0</v>
      </c>
      <c r="D11" s="110"/>
      <c r="E11" s="111"/>
      <c r="F11" s="114">
        <f>(C11+D11)*E11</f>
        <v>0</v>
      </c>
      <c r="G11" s="111"/>
      <c r="H11" s="115">
        <f>F11*G11</f>
        <v>0</v>
      </c>
      <c r="I11" s="111"/>
      <c r="J11" s="115">
        <f>F11*I11</f>
        <v>0</v>
      </c>
      <c r="K11" s="115">
        <f>J7</f>
        <v>0</v>
      </c>
      <c r="L11" s="111"/>
      <c r="M11" s="117">
        <f>K11*L11</f>
        <v>0</v>
      </c>
      <c r="N11" s="118">
        <f>(H11*F3)+(M11*F3)</f>
        <v>0</v>
      </c>
      <c r="O11" s="119">
        <f>N7+N11</f>
        <v>0</v>
      </c>
      <c r="P11" s="113" t="e">
        <f>O11/SUM('Coaching Proforma'!E25:E29)</f>
        <v>#DIV/0!</v>
      </c>
    </row>
    <row r="12" spans="1:16" ht="16.8" thickTop="1" x14ac:dyDescent="0.3"/>
    <row r="13" spans="1:16" ht="33" thickBot="1" x14ac:dyDescent="0.35">
      <c r="A13" t="s">
        <v>65</v>
      </c>
    </row>
    <row r="14" spans="1:16" ht="44.4" thickTop="1" thickBot="1" x14ac:dyDescent="0.35">
      <c r="A14" s="13" t="s">
        <v>44</v>
      </c>
      <c r="B14" s="14" t="s">
        <v>58</v>
      </c>
      <c r="C14" s="14" t="s">
        <v>68</v>
      </c>
      <c r="D14" s="148" t="s">
        <v>86</v>
      </c>
      <c r="E14" s="15" t="s">
        <v>38</v>
      </c>
      <c r="F14" s="15" t="s">
        <v>69</v>
      </c>
      <c r="G14" s="16" t="s">
        <v>61</v>
      </c>
      <c r="H14" s="108" t="s">
        <v>62</v>
      </c>
      <c r="I14" s="108" t="s">
        <v>70</v>
      </c>
      <c r="J14" s="108" t="s">
        <v>71</v>
      </c>
      <c r="K14" s="17" t="s">
        <v>87</v>
      </c>
      <c r="L14" s="120" t="s">
        <v>75</v>
      </c>
      <c r="M14" s="120" t="s">
        <v>76</v>
      </c>
      <c r="N14" s="108" t="s">
        <v>72</v>
      </c>
      <c r="O14" s="108" t="s">
        <v>73</v>
      </c>
      <c r="P14" s="116" t="s">
        <v>77</v>
      </c>
    </row>
    <row r="15" spans="1:16" ht="17.399999999999999" thickTop="1" thickBot="1" x14ac:dyDescent="0.35">
      <c r="A15" s="110"/>
      <c r="B15" s="111"/>
      <c r="C15">
        <f>B15*A15</f>
        <v>0</v>
      </c>
      <c r="D15" s="110"/>
      <c r="E15" s="111"/>
      <c r="F15" s="114">
        <f>(C15+D15)*E15</f>
        <v>0</v>
      </c>
      <c r="G15" s="111"/>
      <c r="H15" s="115">
        <f>F15*G15</f>
        <v>0</v>
      </c>
      <c r="I15" s="111"/>
      <c r="J15" s="115">
        <f>F15*I15</f>
        <v>0</v>
      </c>
      <c r="K15" s="115">
        <f>J11</f>
        <v>0</v>
      </c>
      <c r="L15" s="111"/>
      <c r="M15" s="117">
        <f>K15*L15</f>
        <v>0</v>
      </c>
      <c r="N15" s="118">
        <f>(H15*F3)+(M15*F3)</f>
        <v>0</v>
      </c>
      <c r="O15" s="119">
        <f>O11+N15</f>
        <v>0</v>
      </c>
      <c r="P15" s="113" t="e">
        <f>O15/SUM('Coaching Proforma'!$E$25:$E$29)</f>
        <v>#DIV/0!</v>
      </c>
    </row>
    <row r="16" spans="1:16" ht="16.8" thickTop="1" x14ac:dyDescent="0.3"/>
    <row r="17" spans="1:16" ht="33" thickBot="1" x14ac:dyDescent="0.35">
      <c r="A17" s="116" t="s">
        <v>78</v>
      </c>
    </row>
    <row r="18" spans="1:16" ht="44.4" thickTop="1" thickBot="1" x14ac:dyDescent="0.35">
      <c r="A18" s="13" t="s">
        <v>44</v>
      </c>
      <c r="B18" s="14" t="s">
        <v>58</v>
      </c>
      <c r="C18" s="14" t="s">
        <v>68</v>
      </c>
      <c r="D18" s="148" t="s">
        <v>86</v>
      </c>
      <c r="E18" s="15" t="s">
        <v>38</v>
      </c>
      <c r="F18" s="15" t="s">
        <v>69</v>
      </c>
      <c r="G18" s="16" t="s">
        <v>61</v>
      </c>
      <c r="H18" s="108" t="s">
        <v>62</v>
      </c>
      <c r="I18" s="108" t="s">
        <v>70</v>
      </c>
      <c r="J18" s="108" t="s">
        <v>71</v>
      </c>
      <c r="K18" s="17" t="s">
        <v>87</v>
      </c>
      <c r="L18" s="120" t="s">
        <v>75</v>
      </c>
      <c r="M18" s="120" t="s">
        <v>76</v>
      </c>
      <c r="N18" s="108" t="s">
        <v>72</v>
      </c>
      <c r="O18" s="108" t="s">
        <v>73</v>
      </c>
      <c r="P18" s="116" t="s">
        <v>77</v>
      </c>
    </row>
    <row r="19" spans="1:16" ht="17.399999999999999" thickTop="1" thickBot="1" x14ac:dyDescent="0.35">
      <c r="A19" s="110"/>
      <c r="B19" s="111"/>
      <c r="C19">
        <f>B19*A19</f>
        <v>0</v>
      </c>
      <c r="D19" s="110"/>
      <c r="E19" s="111"/>
      <c r="F19" s="114">
        <f>(C19+D19)*E19</f>
        <v>0</v>
      </c>
      <c r="G19" s="111"/>
      <c r="H19" s="115">
        <f>F19*G19</f>
        <v>0</v>
      </c>
      <c r="I19" s="111"/>
      <c r="J19" s="115">
        <f>F19*I19</f>
        <v>0</v>
      </c>
      <c r="K19" s="115">
        <f>J15</f>
        <v>0</v>
      </c>
      <c r="L19" s="111"/>
      <c r="M19" s="117">
        <f>K19*L19</f>
        <v>0</v>
      </c>
      <c r="N19" s="118">
        <f>(H19*F3)+(M19*F3)</f>
        <v>0</v>
      </c>
      <c r="O19" s="119">
        <f>O15+N19</f>
        <v>0</v>
      </c>
      <c r="P19" s="113" t="e">
        <f>O19/SUM('Coaching Proforma'!$E$25:$E$29)</f>
        <v>#DIV/0!</v>
      </c>
    </row>
    <row r="20" spans="1:16" ht="16.8" thickTop="1" x14ac:dyDescent="0.3"/>
    <row r="21" spans="1:16" ht="33" thickBot="1" x14ac:dyDescent="0.35">
      <c r="A21" s="116" t="s">
        <v>79</v>
      </c>
    </row>
    <row r="22" spans="1:16" ht="44.4" thickTop="1" thickBot="1" x14ac:dyDescent="0.35">
      <c r="A22" s="13" t="s">
        <v>44</v>
      </c>
      <c r="B22" s="14" t="s">
        <v>58</v>
      </c>
      <c r="C22" s="14" t="s">
        <v>68</v>
      </c>
      <c r="D22" s="148" t="s">
        <v>86</v>
      </c>
      <c r="E22" s="15" t="s">
        <v>38</v>
      </c>
      <c r="F22" s="15" t="s">
        <v>69</v>
      </c>
      <c r="G22" s="16" t="s">
        <v>61</v>
      </c>
      <c r="H22" s="108" t="s">
        <v>62</v>
      </c>
      <c r="I22" s="108" t="s">
        <v>70</v>
      </c>
      <c r="J22" s="108" t="s">
        <v>71</v>
      </c>
      <c r="K22" s="17" t="s">
        <v>87</v>
      </c>
      <c r="L22" s="120" t="s">
        <v>75</v>
      </c>
      <c r="M22" s="120" t="s">
        <v>76</v>
      </c>
      <c r="N22" s="108" t="s">
        <v>72</v>
      </c>
      <c r="O22" s="108" t="s">
        <v>73</v>
      </c>
      <c r="P22" s="116" t="s">
        <v>77</v>
      </c>
    </row>
    <row r="23" spans="1:16" ht="17.399999999999999" thickTop="1" thickBot="1" x14ac:dyDescent="0.35">
      <c r="A23" s="110"/>
      <c r="B23" s="111"/>
      <c r="C23">
        <f>B23*A23</f>
        <v>0</v>
      </c>
      <c r="D23" s="110"/>
      <c r="E23" s="111"/>
      <c r="F23" s="114">
        <f>(C23+D23)*E23</f>
        <v>0</v>
      </c>
      <c r="G23" s="111"/>
      <c r="H23" s="115">
        <f>F23*G23</f>
        <v>0</v>
      </c>
      <c r="I23" s="111"/>
      <c r="J23" s="115">
        <f>F23*I23</f>
        <v>0</v>
      </c>
      <c r="K23" s="115">
        <f>J19</f>
        <v>0</v>
      </c>
      <c r="L23" s="111"/>
      <c r="M23" s="117">
        <f>K23*L23</f>
        <v>0</v>
      </c>
      <c r="N23" s="118">
        <f>(H23*F3)+(M23*F3)</f>
        <v>0</v>
      </c>
      <c r="O23" s="119">
        <f>O19+N23</f>
        <v>0</v>
      </c>
      <c r="P23" s="113" t="e">
        <f>O23/SUM('Coaching Proforma'!$E$25:$E$29)</f>
        <v>#DIV/0!</v>
      </c>
    </row>
    <row r="24" spans="1:16" ht="16.8" thickTop="1" x14ac:dyDescent="0.3"/>
    <row r="25" spans="1:16" ht="33" thickBot="1" x14ac:dyDescent="0.35">
      <c r="A25" s="116" t="s">
        <v>80</v>
      </c>
    </row>
    <row r="26" spans="1:16" ht="44.4" thickTop="1" thickBot="1" x14ac:dyDescent="0.35">
      <c r="A26" s="13" t="s">
        <v>44</v>
      </c>
      <c r="B26" s="14" t="s">
        <v>58</v>
      </c>
      <c r="C26" s="14" t="s">
        <v>68</v>
      </c>
      <c r="D26" s="148" t="s">
        <v>86</v>
      </c>
      <c r="E26" s="15" t="s">
        <v>38</v>
      </c>
      <c r="F26" s="15" t="s">
        <v>69</v>
      </c>
      <c r="G26" s="16" t="s">
        <v>61</v>
      </c>
      <c r="H26" s="108" t="s">
        <v>62</v>
      </c>
      <c r="I26" s="108" t="s">
        <v>70</v>
      </c>
      <c r="J26" s="108" t="s">
        <v>71</v>
      </c>
      <c r="K26" s="17" t="s">
        <v>87</v>
      </c>
      <c r="L26" s="120" t="s">
        <v>75</v>
      </c>
      <c r="M26" s="120" t="s">
        <v>76</v>
      </c>
      <c r="N26" s="108" t="s">
        <v>72</v>
      </c>
      <c r="O26" s="108" t="s">
        <v>73</v>
      </c>
      <c r="P26" s="116" t="s">
        <v>77</v>
      </c>
    </row>
    <row r="27" spans="1:16" ht="17.399999999999999" thickTop="1" thickBot="1" x14ac:dyDescent="0.35">
      <c r="A27" s="110"/>
      <c r="B27" s="111"/>
      <c r="C27">
        <f>B27*A27</f>
        <v>0</v>
      </c>
      <c r="D27" s="110"/>
      <c r="E27" s="111"/>
      <c r="F27" s="114">
        <f>(C27+D27)*E27</f>
        <v>0</v>
      </c>
      <c r="G27" s="111"/>
      <c r="H27" s="115">
        <f>F27*G27</f>
        <v>0</v>
      </c>
      <c r="I27" s="111"/>
      <c r="J27" s="115">
        <f>F27*I27</f>
        <v>0</v>
      </c>
      <c r="K27" s="115">
        <f>J23</f>
        <v>0</v>
      </c>
      <c r="L27" s="111"/>
      <c r="M27" s="117">
        <f>K27*L27</f>
        <v>0</v>
      </c>
      <c r="N27" s="118">
        <f>(H27*F3)+(M27*F3)</f>
        <v>0</v>
      </c>
      <c r="O27" s="119">
        <f>O23+N27</f>
        <v>0</v>
      </c>
      <c r="P27" s="113" t="e">
        <f>O27/SUM('Coaching Proforma'!$E$25:$E$29)</f>
        <v>#DIV/0!</v>
      </c>
    </row>
    <row r="28" spans="1:16" ht="16.8" thickTop="1" x14ac:dyDescent="0.3"/>
  </sheetData>
  <pageMargins left="0.7" right="0.7" top="0.75" bottom="0.75" header="0.3" footer="0.3"/>
  <pageSetup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F321E7D9300C647B2CB9550E639835F" ma:contentTypeVersion="12" ma:contentTypeDescription="Create a new document." ma:contentTypeScope="" ma:versionID="b78fe6b5bf1713bc314619fb144e00cb">
  <xsd:schema xmlns:xsd="http://www.w3.org/2001/XMLSchema" xmlns:xs="http://www.w3.org/2001/XMLSchema" xmlns:p="http://schemas.microsoft.com/office/2006/metadata/properties" xmlns:ns2="c6e53ef5-aa40-4ab3-8b24-2fd4d1062466" xmlns:ns3="bd3e74f9-e755-491e-81ce-75485ea4b35b" targetNamespace="http://schemas.microsoft.com/office/2006/metadata/properties" ma:root="true" ma:fieldsID="557001868ce67f5d25f98d00ca27b1f8" ns2:_="" ns3:_="">
    <xsd:import namespace="c6e53ef5-aa40-4ab3-8b24-2fd4d1062466"/>
    <xsd:import namespace="bd3e74f9-e755-491e-81ce-75485ea4b35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AutoKeyPoints" minOccurs="0"/>
                <xsd:element ref="ns2:MediaServiceKeyPoints" minOccurs="0"/>
                <xsd:element ref="ns2:MediaServiceLocatio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6e53ef5-aa40-4ab3-8b24-2fd4d106246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d3e74f9-e755-491e-81ce-75485ea4b35b"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AC0F6C0-CB56-414A-A8D0-BAD5F3DE0A31}">
  <ds:schemaRefs>
    <ds:schemaRef ds:uri="http://www.w3.org/XML/1998/namespace"/>
    <ds:schemaRef ds:uri="http://purl.org/dc/elements/1.1/"/>
    <ds:schemaRef ds:uri="http://schemas.microsoft.com/office/infopath/2007/PartnerControls"/>
    <ds:schemaRef ds:uri="http://purl.org/dc/dcmitype/"/>
    <ds:schemaRef ds:uri="http://schemas.microsoft.com/office/2006/documentManagement/types"/>
    <ds:schemaRef ds:uri="http://schemas.microsoft.com/office/2006/metadata/properties"/>
    <ds:schemaRef ds:uri="http://schemas.openxmlformats.org/package/2006/metadata/core-properties"/>
    <ds:schemaRef ds:uri="http://purl.org/dc/terms/"/>
    <ds:schemaRef ds:uri="bd3e74f9-e755-491e-81ce-75485ea4b35b"/>
    <ds:schemaRef ds:uri="c6e53ef5-aa40-4ab3-8b24-2fd4d1062466"/>
  </ds:schemaRefs>
</ds:datastoreItem>
</file>

<file path=customXml/itemProps2.xml><?xml version="1.0" encoding="utf-8"?>
<ds:datastoreItem xmlns:ds="http://schemas.openxmlformats.org/officeDocument/2006/customXml" ds:itemID="{AEC63277-A91D-4419-A34D-FE13CAF9675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6e53ef5-aa40-4ab3-8b24-2fd4d1062466"/>
    <ds:schemaRef ds:uri="bd3e74f9-e755-491e-81ce-75485ea4b35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5213FB8-1C19-4F2C-A81C-BDE582B607C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Coaching Proforma</vt:lpstr>
      <vt:lpstr>Small Group KPIs</vt:lpstr>
      <vt:lpstr>Team Training KPIs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Rachel.Southard@sebrands.com</dc:creator>
  <cp:lastModifiedBy>Chance Heare</cp:lastModifiedBy>
  <cp:lastPrinted>2016-08-03T21:54:49Z</cp:lastPrinted>
  <dcterms:created xsi:type="dcterms:W3CDTF">2014-07-18T17:04:43Z</dcterms:created>
  <dcterms:modified xsi:type="dcterms:W3CDTF">2020-09-30T21:11:53Z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0x0101008F321E7D9300C647B2CB9550E639835F</vt:lpwstr>
  </property>
</Properties>
</file>