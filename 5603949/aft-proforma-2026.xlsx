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aron.trotter/Desktop/"/>
    </mc:Choice>
  </mc:AlternateContent>
  <xr:revisionPtr revIDLastSave="0" documentId="8_{D6EA9648-D307-2040-97B6-27AABCAC6E04}" xr6:coauthVersionLast="47" xr6:coauthVersionMax="47" xr10:uidLastSave="{00000000-0000-0000-0000-000000000000}"/>
  <bookViews>
    <workbookView xWindow="3600" yWindow="860" windowWidth="29040" windowHeight="19120" activeTab="1" xr2:uid="{EB93A002-B75F-4122-AB01-6F3478B2142D}"/>
  </bookViews>
  <sheets>
    <sheet name="Instructions" sheetId="5" r:id="rId1"/>
    <sheet name="Inputs" sheetId="4" r:id="rId2"/>
    <sheet name="Session" sheetId="9" r:id="rId3"/>
    <sheet name="Weekly" sheetId="6" r:id="rId4"/>
    <sheet name="Monthly" sheetId="7" r:id="rId5"/>
    <sheet name="Annual" sheetId="8" r:id="rId6"/>
    <sheet name="Next Steps -&gt;" sheetId="3" state="hidden" r:id="rId7"/>
    <sheet name="Strong and Fit KPIs" sheetId="2" state="hidden" r:id="rId8"/>
    <sheet name="Old -&gt;" sheetId="10" state="hidden" r:id="rId9"/>
    <sheet name="Personal Training Proforma" sheetId="1"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4" l="1"/>
  <c r="E15" i="4"/>
  <c r="F15" i="4"/>
  <c r="G15" i="4"/>
  <c r="G14" i="9"/>
  <c r="C16" i="9"/>
  <c r="D16" i="9"/>
  <c r="E16" i="9"/>
  <c r="F16" i="9"/>
  <c r="G16" i="9"/>
  <c r="E12" i="9"/>
  <c r="G21" i="9"/>
  <c r="C23" i="9"/>
  <c r="D23" i="9"/>
  <c r="E23" i="9"/>
  <c r="F23" i="9"/>
  <c r="G23" i="9"/>
  <c r="E19" i="9"/>
  <c r="C6" i="9"/>
  <c r="D6" i="9"/>
  <c r="D13" i="9" s="1"/>
  <c r="E6" i="9"/>
  <c r="E13" i="9" s="1"/>
  <c r="F6" i="9"/>
  <c r="G6" i="9"/>
  <c r="G13" i="9" s="1"/>
  <c r="C7" i="9"/>
  <c r="D7" i="9"/>
  <c r="D14" i="9" s="1"/>
  <c r="E7" i="9"/>
  <c r="E14" i="9" s="1"/>
  <c r="F7" i="9"/>
  <c r="G7" i="9"/>
  <c r="C8" i="9"/>
  <c r="D8" i="9"/>
  <c r="D15" i="9" s="1"/>
  <c r="E8" i="9"/>
  <c r="F8" i="9"/>
  <c r="F15" i="9" s="1"/>
  <c r="G8" i="9"/>
  <c r="G15" i="9" s="1"/>
  <c r="C9" i="9"/>
  <c r="D9" i="9"/>
  <c r="E9" i="9"/>
  <c r="F9" i="9"/>
  <c r="G9" i="9"/>
  <c r="D5" i="9"/>
  <c r="D12" i="9" s="1"/>
  <c r="E5" i="9"/>
  <c r="F5" i="9"/>
  <c r="F12" i="9" s="1"/>
  <c r="G5" i="9"/>
  <c r="G12" i="9" s="1"/>
  <c r="C5" i="9"/>
  <c r="H17" i="7"/>
  <c r="C15" i="9" l="1"/>
  <c r="C22" i="9" s="1"/>
  <c r="C29" i="9" s="1"/>
  <c r="F14" i="9"/>
  <c r="F21" i="9"/>
  <c r="C14" i="9"/>
  <c r="C21" i="9"/>
  <c r="F13" i="9"/>
  <c r="F20" i="9"/>
  <c r="F27" i="9" s="1"/>
  <c r="C13" i="9"/>
  <c r="C20" i="9" s="1"/>
  <c r="C27" i="9" s="1"/>
  <c r="C12" i="9"/>
  <c r="C19" i="9"/>
  <c r="C26" i="9" s="1"/>
  <c r="F30" i="9"/>
  <c r="C30" i="9"/>
  <c r="E30" i="9"/>
  <c r="G30" i="9"/>
  <c r="G20" i="9"/>
  <c r="E15" i="9"/>
  <c r="E22" i="9" s="1"/>
  <c r="E29" i="9" s="1"/>
  <c r="D19" i="9"/>
  <c r="D26" i="9" s="1"/>
  <c r="H14" i="8"/>
  <c r="H14" i="7"/>
  <c r="F28" i="9"/>
  <c r="D30" i="9"/>
  <c r="H16" i="8"/>
  <c r="H16" i="7"/>
  <c r="H16" i="6"/>
  <c r="H18" i="6"/>
  <c r="H18" i="8"/>
  <c r="H18" i="7"/>
  <c r="H15" i="7"/>
  <c r="H15" i="6"/>
  <c r="H15" i="8"/>
  <c r="C28" i="9"/>
  <c r="G27" i="9"/>
  <c r="H17" i="8"/>
  <c r="H14" i="6"/>
  <c r="E26" i="9"/>
  <c r="G28" i="9"/>
  <c r="H17" i="6"/>
  <c r="E21" i="9"/>
  <c r="E28" i="9" s="1"/>
  <c r="D21" i="9"/>
  <c r="D28" i="9" s="1"/>
  <c r="F22" i="9"/>
  <c r="F29" i="9" s="1"/>
  <c r="G22" i="9"/>
  <c r="G29" i="9" s="1"/>
  <c r="D20" i="9"/>
  <c r="D27" i="9" s="1"/>
  <c r="G19" i="9"/>
  <c r="G26" i="9" s="1"/>
  <c r="G9" i="8"/>
  <c r="G27" i="8" s="1"/>
  <c r="F9" i="8"/>
  <c r="E9" i="8"/>
  <c r="E27" i="8" s="1"/>
  <c r="D9" i="8"/>
  <c r="D27" i="8" s="1"/>
  <c r="C9" i="8"/>
  <c r="C27" i="8" s="1"/>
  <c r="G8" i="8"/>
  <c r="G26" i="8" s="1"/>
  <c r="F8" i="8"/>
  <c r="E8" i="8"/>
  <c r="E26" i="8" s="1"/>
  <c r="D8" i="8"/>
  <c r="D26" i="8" s="1"/>
  <c r="C8" i="8"/>
  <c r="C26" i="8" s="1"/>
  <c r="G7" i="8"/>
  <c r="G25" i="8" s="1"/>
  <c r="F7" i="8"/>
  <c r="E7" i="8"/>
  <c r="E25" i="8" s="1"/>
  <c r="D7" i="8"/>
  <c r="D25" i="8" s="1"/>
  <c r="C7" i="8"/>
  <c r="C25" i="8" s="1"/>
  <c r="G6" i="8"/>
  <c r="G24" i="8" s="1"/>
  <c r="F6" i="8"/>
  <c r="E6" i="8"/>
  <c r="D6" i="8"/>
  <c r="D24" i="8" s="1"/>
  <c r="C6" i="8"/>
  <c r="C24" i="8" s="1"/>
  <c r="G5" i="8"/>
  <c r="F5" i="8"/>
  <c r="E5" i="8"/>
  <c r="E23" i="8" s="1"/>
  <c r="D5" i="8"/>
  <c r="D23" i="8" s="1"/>
  <c r="C5" i="8"/>
  <c r="C23" i="8" s="1"/>
  <c r="G9" i="7"/>
  <c r="G27" i="7" s="1"/>
  <c r="F9" i="7"/>
  <c r="F27" i="7" s="1"/>
  <c r="E9" i="7"/>
  <c r="E27" i="7" s="1"/>
  <c r="D9" i="7"/>
  <c r="D27" i="7" s="1"/>
  <c r="C9" i="7"/>
  <c r="C27" i="7" s="1"/>
  <c r="G8" i="7"/>
  <c r="G26" i="7" s="1"/>
  <c r="F8" i="7"/>
  <c r="F26" i="7" s="1"/>
  <c r="E8" i="7"/>
  <c r="D8" i="7"/>
  <c r="D26" i="7" s="1"/>
  <c r="C8" i="7"/>
  <c r="C26" i="7" s="1"/>
  <c r="G7" i="7"/>
  <c r="G25" i="7" s="1"/>
  <c r="F7" i="7"/>
  <c r="F25" i="7" s="1"/>
  <c r="E7" i="7"/>
  <c r="E25" i="7" s="1"/>
  <c r="D7" i="7"/>
  <c r="D25" i="7" s="1"/>
  <c r="C7" i="7"/>
  <c r="C25" i="7" s="1"/>
  <c r="G6" i="7"/>
  <c r="G24" i="7" s="1"/>
  <c r="F6" i="7"/>
  <c r="F24" i="7" s="1"/>
  <c r="E6" i="7"/>
  <c r="E24" i="7" s="1"/>
  <c r="D6" i="7"/>
  <c r="D24" i="7" s="1"/>
  <c r="C6" i="7"/>
  <c r="C24" i="7" s="1"/>
  <c r="D5" i="7"/>
  <c r="D23" i="7" s="1"/>
  <c r="E5" i="7"/>
  <c r="E23" i="7" s="1"/>
  <c r="F5" i="7"/>
  <c r="F23" i="7" s="1"/>
  <c r="G5" i="7"/>
  <c r="G23" i="7" s="1"/>
  <c r="C5" i="7"/>
  <c r="C23" i="7" s="1"/>
  <c r="D5" i="6"/>
  <c r="E5" i="6"/>
  <c r="F5" i="6"/>
  <c r="G5" i="6"/>
  <c r="D6" i="6"/>
  <c r="E6" i="6"/>
  <c r="E24" i="6" s="1"/>
  <c r="F6" i="6"/>
  <c r="G6" i="6"/>
  <c r="G24" i="6" s="1"/>
  <c r="D7" i="6"/>
  <c r="E7" i="6"/>
  <c r="E25" i="6" s="1"/>
  <c r="F7" i="6"/>
  <c r="F25" i="6" s="1"/>
  <c r="G7" i="6"/>
  <c r="D8" i="6"/>
  <c r="E8" i="6"/>
  <c r="F8" i="6"/>
  <c r="F26" i="6" s="1"/>
  <c r="G8" i="6"/>
  <c r="G26" i="6" s="1"/>
  <c r="D9" i="6"/>
  <c r="D27" i="6" s="1"/>
  <c r="E9" i="6"/>
  <c r="E27" i="6" s="1"/>
  <c r="F9" i="6"/>
  <c r="F27" i="6" s="1"/>
  <c r="G9" i="6"/>
  <c r="C6" i="6"/>
  <c r="C7" i="6"/>
  <c r="C25" i="6" s="1"/>
  <c r="C8" i="6"/>
  <c r="C26" i="6" s="1"/>
  <c r="C9" i="6"/>
  <c r="C27" i="6" s="1"/>
  <c r="C5" i="6"/>
  <c r="D39" i="1"/>
  <c r="E39" i="1"/>
  <c r="F39" i="1"/>
  <c r="G39" i="1"/>
  <c r="H39" i="1"/>
  <c r="D40" i="1"/>
  <c r="E40" i="1"/>
  <c r="F40" i="1"/>
  <c r="G40" i="1"/>
  <c r="H40" i="1"/>
  <c r="D41" i="1"/>
  <c r="E41" i="1"/>
  <c r="F41" i="1"/>
  <c r="G41" i="1"/>
  <c r="H41" i="1"/>
  <c r="D42" i="1"/>
  <c r="E42" i="1"/>
  <c r="F42" i="1"/>
  <c r="G42" i="1"/>
  <c r="H42" i="1"/>
  <c r="C39" i="1"/>
  <c r="C40" i="1"/>
  <c r="C41" i="1"/>
  <c r="C42" i="1"/>
  <c r="E38" i="1"/>
  <c r="E2" i="1"/>
  <c r="E3" i="1"/>
  <c r="E4" i="1"/>
  <c r="E5" i="1"/>
  <c r="E6" i="1"/>
  <c r="D2" i="1"/>
  <c r="F2" i="1"/>
  <c r="G2" i="1"/>
  <c r="H2" i="1"/>
  <c r="D3" i="1"/>
  <c r="F3" i="1"/>
  <c r="G3" i="1"/>
  <c r="H3" i="1"/>
  <c r="D4" i="1"/>
  <c r="D70" i="1" s="1"/>
  <c r="F4" i="1"/>
  <c r="G4" i="1"/>
  <c r="H4" i="1"/>
  <c r="D5" i="1"/>
  <c r="F5" i="1"/>
  <c r="G5" i="1"/>
  <c r="H5" i="1"/>
  <c r="D6" i="1"/>
  <c r="F6" i="1"/>
  <c r="G6" i="1"/>
  <c r="H6" i="1"/>
  <c r="C6" i="1"/>
  <c r="C72" i="1" s="1"/>
  <c r="C5" i="1"/>
  <c r="C4" i="1"/>
  <c r="C3" i="1"/>
  <c r="C2" i="1"/>
  <c r="C15" i="4"/>
  <c r="C29" i="1"/>
  <c r="B7" i="2"/>
  <c r="J34" i="1"/>
  <c r="J33" i="1"/>
  <c r="J32" i="1"/>
  <c r="J31" i="1"/>
  <c r="J30" i="1"/>
  <c r="I15" i="8" l="1"/>
  <c r="I15" i="7"/>
  <c r="I14" i="6"/>
  <c r="I18" i="8"/>
  <c r="I18" i="6"/>
  <c r="I17" i="8"/>
  <c r="I14" i="8"/>
  <c r="I18" i="7"/>
  <c r="I17" i="6"/>
  <c r="I17" i="7"/>
  <c r="I16" i="6"/>
  <c r="I16" i="7"/>
  <c r="I15" i="6"/>
  <c r="I16" i="8"/>
  <c r="I14" i="7"/>
  <c r="G35" i="8"/>
  <c r="G36" i="8"/>
  <c r="F11" i="8"/>
  <c r="E11" i="6"/>
  <c r="I6" i="8"/>
  <c r="G11" i="8"/>
  <c r="D11" i="6"/>
  <c r="I9" i="8"/>
  <c r="F11" i="6"/>
  <c r="I9" i="7"/>
  <c r="C11" i="6"/>
  <c r="I8" i="6"/>
  <c r="I8" i="7"/>
  <c r="F11" i="7"/>
  <c r="I5" i="6"/>
  <c r="I8" i="8"/>
  <c r="E11" i="7"/>
  <c r="I5" i="8"/>
  <c r="I7" i="8"/>
  <c r="D11" i="7"/>
  <c r="I5" i="7"/>
  <c r="I9" i="6"/>
  <c r="C11" i="8"/>
  <c r="E11" i="8"/>
  <c r="I7" i="6"/>
  <c r="I7" i="7"/>
  <c r="C11" i="7"/>
  <c r="D11" i="8"/>
  <c r="I6" i="6"/>
  <c r="I6" i="7"/>
  <c r="G11" i="6"/>
  <c r="G11" i="7"/>
  <c r="D64" i="1"/>
  <c r="G35" i="6"/>
  <c r="E33" i="7"/>
  <c r="D36" i="7"/>
  <c r="G23" i="6"/>
  <c r="F23" i="6"/>
  <c r="F36" i="6"/>
  <c r="E36" i="7"/>
  <c r="E36" i="6"/>
  <c r="F24" i="6"/>
  <c r="F33" i="6" s="1"/>
  <c r="G33" i="7"/>
  <c r="D35" i="7"/>
  <c r="D26" i="6"/>
  <c r="D35" i="6" s="1"/>
  <c r="G33" i="8"/>
  <c r="E34" i="6"/>
  <c r="E24" i="8"/>
  <c r="E28" i="8" s="1"/>
  <c r="F63" i="1"/>
  <c r="G33" i="6"/>
  <c r="G36" i="7"/>
  <c r="D25" i="6"/>
  <c r="E26" i="6"/>
  <c r="E35" i="6" s="1"/>
  <c r="G27" i="6"/>
  <c r="G36" i="6" s="1"/>
  <c r="F34" i="6"/>
  <c r="C34" i="6"/>
  <c r="E36" i="8"/>
  <c r="F35" i="6"/>
  <c r="D34" i="7"/>
  <c r="H5" i="6"/>
  <c r="D23" i="6"/>
  <c r="D36" i="6"/>
  <c r="C35" i="6"/>
  <c r="G10" i="8"/>
  <c r="E35" i="8"/>
  <c r="G10" i="6"/>
  <c r="H6" i="6"/>
  <c r="C24" i="6"/>
  <c r="E33" i="6"/>
  <c r="C36" i="6"/>
  <c r="H7" i="6"/>
  <c r="E26" i="7"/>
  <c r="E35" i="7" s="1"/>
  <c r="H8" i="6"/>
  <c r="C23" i="6"/>
  <c r="G25" i="6"/>
  <c r="G34" i="6" s="1"/>
  <c r="E23" i="6"/>
  <c r="H9" i="6"/>
  <c r="D10" i="7"/>
  <c r="D61" i="1"/>
  <c r="D24" i="6"/>
  <c r="D33" i="6" s="1"/>
  <c r="E10" i="8"/>
  <c r="E34" i="8"/>
  <c r="G34" i="8"/>
  <c r="C28" i="8"/>
  <c r="D28" i="8"/>
  <c r="H5" i="8"/>
  <c r="F25" i="8"/>
  <c r="H25" i="8" s="1"/>
  <c r="G23" i="8"/>
  <c r="C32" i="8"/>
  <c r="C33" i="8"/>
  <c r="C34" i="8"/>
  <c r="C35" i="8"/>
  <c r="C36" i="8"/>
  <c r="H6" i="8"/>
  <c r="F26" i="8"/>
  <c r="F35" i="8" s="1"/>
  <c r="C10" i="8"/>
  <c r="D32" i="8"/>
  <c r="D33" i="8"/>
  <c r="D34" i="8"/>
  <c r="D35" i="8"/>
  <c r="D36" i="8"/>
  <c r="F10" i="8"/>
  <c r="H9" i="8"/>
  <c r="F24" i="8"/>
  <c r="F33" i="8" s="1"/>
  <c r="D10" i="8"/>
  <c r="H7" i="8"/>
  <c r="F23" i="8"/>
  <c r="E32" i="8"/>
  <c r="H8" i="8"/>
  <c r="F27" i="8"/>
  <c r="G35" i="7"/>
  <c r="G34" i="7"/>
  <c r="G10" i="7"/>
  <c r="E34" i="7"/>
  <c r="E10" i="7"/>
  <c r="D28" i="7"/>
  <c r="D33" i="7"/>
  <c r="C28" i="7"/>
  <c r="F34" i="7"/>
  <c r="H5" i="7"/>
  <c r="H6" i="7"/>
  <c r="H7" i="7"/>
  <c r="H8" i="7"/>
  <c r="H9" i="7"/>
  <c r="F36" i="7"/>
  <c r="C32" i="7"/>
  <c r="C33" i="7"/>
  <c r="C34" i="7"/>
  <c r="C35" i="7"/>
  <c r="C36" i="7"/>
  <c r="C10" i="7"/>
  <c r="D32" i="7"/>
  <c r="F10" i="7"/>
  <c r="E32" i="7"/>
  <c r="E10" i="6"/>
  <c r="C10" i="6"/>
  <c r="F10" i="6"/>
  <c r="D10" i="6"/>
  <c r="C62" i="1"/>
  <c r="G63" i="1"/>
  <c r="D63" i="1"/>
  <c r="D38" i="1"/>
  <c r="D60" i="1" s="1"/>
  <c r="F62" i="1"/>
  <c r="C38" i="1"/>
  <c r="C60" i="1" s="1"/>
  <c r="H38" i="1"/>
  <c r="G38" i="1"/>
  <c r="G60" i="1" s="1"/>
  <c r="F38" i="1"/>
  <c r="F60" i="1" s="1"/>
  <c r="G61" i="1"/>
  <c r="F61" i="1"/>
  <c r="G64" i="1"/>
  <c r="F64" i="1"/>
  <c r="G62" i="1"/>
  <c r="C61" i="1"/>
  <c r="J5" i="1"/>
  <c r="J2" i="1"/>
  <c r="C63" i="1"/>
  <c r="J63" i="1" s="1"/>
  <c r="L63" i="1" s="1"/>
  <c r="C7" i="1"/>
  <c r="L5" i="1"/>
  <c r="L2" i="1"/>
  <c r="L6" i="1"/>
  <c r="L4" i="1"/>
  <c r="L3" i="1"/>
  <c r="J4" i="1"/>
  <c r="J6" i="1"/>
  <c r="J3" i="1"/>
  <c r="E7" i="1"/>
  <c r="G7" i="1"/>
  <c r="G68" i="1"/>
  <c r="H7" i="1"/>
  <c r="F7" i="1"/>
  <c r="D7" i="1"/>
  <c r="F68" i="1"/>
  <c r="D68" i="1"/>
  <c r="C69" i="1"/>
  <c r="C70" i="1"/>
  <c r="D72" i="1"/>
  <c r="C71" i="1"/>
  <c r="G72" i="1"/>
  <c r="G70" i="1"/>
  <c r="F72" i="1"/>
  <c r="F70" i="1"/>
  <c r="C68" i="1"/>
  <c r="G71" i="1"/>
  <c r="G69" i="1"/>
  <c r="F71" i="1"/>
  <c r="F69" i="1"/>
  <c r="D71" i="1"/>
  <c r="D69" i="1"/>
  <c r="C64" i="1"/>
  <c r="C80" i="1" s="1"/>
  <c r="C88" i="1" s="1"/>
  <c r="C96" i="1" s="1"/>
  <c r="D62" i="1"/>
  <c r="J57" i="1"/>
  <c r="E20" i="9" l="1"/>
  <c r="E27" i="9" s="1"/>
  <c r="D22" i="9"/>
  <c r="D29" i="9" s="1"/>
  <c r="F19" i="9"/>
  <c r="F26" i="9" s="1"/>
  <c r="D80" i="1"/>
  <c r="D88" i="1" s="1"/>
  <c r="D96" i="1" s="1"/>
  <c r="C29" i="8"/>
  <c r="F29" i="7"/>
  <c r="E28" i="7"/>
  <c r="I26" i="7"/>
  <c r="I27" i="8"/>
  <c r="D29" i="7"/>
  <c r="I24" i="7"/>
  <c r="I27" i="7"/>
  <c r="G29" i="7"/>
  <c r="G29" i="8"/>
  <c r="C29" i="7"/>
  <c r="I25" i="6"/>
  <c r="D32" i="6"/>
  <c r="D29" i="6"/>
  <c r="E29" i="6"/>
  <c r="I25" i="7"/>
  <c r="I26" i="6"/>
  <c r="C33" i="6"/>
  <c r="I24" i="6"/>
  <c r="I23" i="6"/>
  <c r="C29" i="6"/>
  <c r="F29" i="6"/>
  <c r="D29" i="8"/>
  <c r="I23" i="7"/>
  <c r="F32" i="8"/>
  <c r="F29" i="8"/>
  <c r="I23" i="8"/>
  <c r="E33" i="8"/>
  <c r="E37" i="8" s="1"/>
  <c r="I24" i="8"/>
  <c r="I26" i="8"/>
  <c r="E29" i="7"/>
  <c r="I27" i="6"/>
  <c r="G29" i="6"/>
  <c r="I25" i="8"/>
  <c r="G32" i="6"/>
  <c r="E29" i="8"/>
  <c r="G79" i="1"/>
  <c r="G87" i="1" s="1"/>
  <c r="G95" i="1" s="1"/>
  <c r="H19" i="6"/>
  <c r="F28" i="6"/>
  <c r="H26" i="7"/>
  <c r="H35" i="7" s="1"/>
  <c r="F79" i="1"/>
  <c r="F87" i="1" s="1"/>
  <c r="F95" i="1" s="1"/>
  <c r="H23" i="6"/>
  <c r="H32" i="6" s="1"/>
  <c r="G28" i="6"/>
  <c r="D28" i="6"/>
  <c r="H19" i="7"/>
  <c r="F32" i="6"/>
  <c r="H27" i="8"/>
  <c r="H36" i="8" s="1"/>
  <c r="F78" i="1"/>
  <c r="F86" i="1" s="1"/>
  <c r="F94" i="1" s="1"/>
  <c r="H25" i="6"/>
  <c r="H34" i="6" s="1"/>
  <c r="H27" i="6"/>
  <c r="H36" i="6" s="1"/>
  <c r="C32" i="6"/>
  <c r="H19" i="8"/>
  <c r="H26" i="6"/>
  <c r="H35" i="6" s="1"/>
  <c r="D34" i="6"/>
  <c r="H10" i="6"/>
  <c r="E28" i="6"/>
  <c r="C28" i="6"/>
  <c r="D79" i="1"/>
  <c r="D87" i="1" s="1"/>
  <c r="D95" i="1" s="1"/>
  <c r="F77" i="1"/>
  <c r="F85" i="1" s="1"/>
  <c r="F93" i="1" s="1"/>
  <c r="E32" i="6"/>
  <c r="H24" i="6"/>
  <c r="H23" i="8"/>
  <c r="H32" i="8" s="1"/>
  <c r="H24" i="8"/>
  <c r="H33" i="8" s="1"/>
  <c r="F36" i="8"/>
  <c r="F34" i="8"/>
  <c r="D37" i="8"/>
  <c r="F28" i="8"/>
  <c r="H34" i="8"/>
  <c r="G28" i="8"/>
  <c r="G32" i="8"/>
  <c r="H10" i="8"/>
  <c r="H26" i="8"/>
  <c r="C37" i="8"/>
  <c r="H25" i="7"/>
  <c r="H34" i="7" s="1"/>
  <c r="C37" i="7"/>
  <c r="H24" i="7"/>
  <c r="H33" i="7" s="1"/>
  <c r="G28" i="7"/>
  <c r="G32" i="7"/>
  <c r="H27" i="7"/>
  <c r="H36" i="7" s="1"/>
  <c r="F33" i="7"/>
  <c r="H10" i="7"/>
  <c r="F32" i="7"/>
  <c r="F28" i="7"/>
  <c r="H23" i="7"/>
  <c r="H32" i="7" s="1"/>
  <c r="E37" i="7"/>
  <c r="D37" i="7"/>
  <c r="F35" i="7"/>
  <c r="C78" i="1"/>
  <c r="C86" i="1" s="1"/>
  <c r="C94" i="1" s="1"/>
  <c r="C79" i="1"/>
  <c r="C87" i="1" s="1"/>
  <c r="C95" i="1" s="1"/>
  <c r="D76" i="1"/>
  <c r="D84" i="1" s="1"/>
  <c r="D92" i="1" s="1"/>
  <c r="J61" i="1"/>
  <c r="L61" i="1" s="1"/>
  <c r="G80" i="1"/>
  <c r="G88" i="1" s="1"/>
  <c r="G96" i="1" s="1"/>
  <c r="C77" i="1"/>
  <c r="C85" i="1" s="1"/>
  <c r="C93" i="1" s="1"/>
  <c r="G78" i="1"/>
  <c r="G86" i="1" s="1"/>
  <c r="G94" i="1" s="1"/>
  <c r="C76" i="1"/>
  <c r="C84" i="1" s="1"/>
  <c r="C92" i="1" s="1"/>
  <c r="G8" i="1"/>
  <c r="G76" i="1"/>
  <c r="G84" i="1" s="1"/>
  <c r="G92" i="1" s="1"/>
  <c r="E8" i="1"/>
  <c r="D8" i="1"/>
  <c r="H8" i="1"/>
  <c r="F8" i="1"/>
  <c r="F76" i="1"/>
  <c r="F84" i="1" s="1"/>
  <c r="F92" i="1" s="1"/>
  <c r="L7" i="1"/>
  <c r="C8" i="1"/>
  <c r="J7" i="1"/>
  <c r="J64" i="1"/>
  <c r="L64" i="1" s="1"/>
  <c r="G65" i="1"/>
  <c r="C65" i="1"/>
  <c r="F73" i="1"/>
  <c r="D73" i="1"/>
  <c r="D77" i="1"/>
  <c r="D85" i="1" s="1"/>
  <c r="D93" i="1" s="1"/>
  <c r="J62" i="1"/>
  <c r="D78" i="1"/>
  <c r="D86" i="1" s="1"/>
  <c r="D94" i="1" s="1"/>
  <c r="J72" i="1"/>
  <c r="L72" i="1" s="1"/>
  <c r="J70" i="1"/>
  <c r="L70" i="1" s="1"/>
  <c r="G73" i="1"/>
  <c r="F65" i="1"/>
  <c r="D65" i="1"/>
  <c r="J60" i="1"/>
  <c r="F80" i="1"/>
  <c r="J71" i="1"/>
  <c r="G77" i="1"/>
  <c r="J69" i="1"/>
  <c r="C73" i="1"/>
  <c r="J68" i="1"/>
  <c r="L68" i="1" s="1"/>
  <c r="I33" i="7" l="1"/>
  <c r="G38" i="7"/>
  <c r="C38" i="7"/>
  <c r="E38" i="7"/>
  <c r="I36" i="8"/>
  <c r="I33" i="8"/>
  <c r="J77" i="1"/>
  <c r="J85" i="1" s="1"/>
  <c r="J93" i="1" s="1"/>
  <c r="I36" i="6"/>
  <c r="I34" i="6"/>
  <c r="I32" i="8"/>
  <c r="I35" i="6"/>
  <c r="I33" i="6"/>
  <c r="I35" i="8"/>
  <c r="I35" i="7"/>
  <c r="D38" i="7"/>
  <c r="G38" i="6"/>
  <c r="I34" i="8"/>
  <c r="I36" i="7"/>
  <c r="D38" i="8"/>
  <c r="F38" i="8"/>
  <c r="E38" i="8"/>
  <c r="G37" i="6"/>
  <c r="F38" i="7"/>
  <c r="E37" i="6"/>
  <c r="E38" i="6"/>
  <c r="F37" i="6"/>
  <c r="F38" i="6"/>
  <c r="C38" i="8"/>
  <c r="I32" i="7"/>
  <c r="I34" i="7"/>
  <c r="C37" i="6"/>
  <c r="I32" i="6"/>
  <c r="C38" i="6"/>
  <c r="G38" i="8"/>
  <c r="D38" i="6"/>
  <c r="H28" i="8"/>
  <c r="D37" i="6"/>
  <c r="H28" i="6"/>
  <c r="H33" i="6"/>
  <c r="H37" i="6" s="1"/>
  <c r="H40" i="6" s="1"/>
  <c r="H35" i="8"/>
  <c r="H37" i="8" s="1"/>
  <c r="H40" i="8" s="1"/>
  <c r="F37" i="8"/>
  <c r="G37" i="8"/>
  <c r="H37" i="7"/>
  <c r="H40" i="7" s="1"/>
  <c r="G37" i="7"/>
  <c r="H28" i="7"/>
  <c r="F37" i="7"/>
  <c r="C81" i="1"/>
  <c r="C89" i="1" s="1"/>
  <c r="G81" i="1"/>
  <c r="G85" i="1"/>
  <c r="G93" i="1" s="1"/>
  <c r="F81" i="1"/>
  <c r="F88" i="1"/>
  <c r="F96" i="1" s="1"/>
  <c r="L62" i="1"/>
  <c r="J78" i="1"/>
  <c r="J86" i="1" s="1"/>
  <c r="J94" i="1" s="1"/>
  <c r="L71" i="1"/>
  <c r="J79" i="1"/>
  <c r="J87" i="1" s="1"/>
  <c r="J95" i="1" s="1"/>
  <c r="D81" i="1"/>
  <c r="J76" i="1"/>
  <c r="J84" i="1" s="1"/>
  <c r="J92" i="1" s="1"/>
  <c r="J65" i="1"/>
  <c r="L60" i="1"/>
  <c r="J80" i="1"/>
  <c r="J88" i="1" s="1"/>
  <c r="J96" i="1" s="1"/>
  <c r="J73" i="1"/>
  <c r="L69" i="1"/>
  <c r="B3" i="2"/>
  <c r="C13" i="2"/>
  <c r="C16" i="2" s="1"/>
  <c r="C20" i="2" s="1"/>
  <c r="D21" i="2" s="1"/>
  <c r="D23" i="2" s="1"/>
  <c r="D13" i="2"/>
  <c r="D16" i="2" s="1"/>
  <c r="E13" i="2"/>
  <c r="E16" i="2" s="1"/>
  <c r="F13" i="2"/>
  <c r="F16" i="2" s="1"/>
  <c r="G13" i="2"/>
  <c r="G16" i="2" s="1"/>
  <c r="B22" i="2"/>
  <c r="B13" i="2"/>
  <c r="B16" i="2" s="1"/>
  <c r="L34" i="1"/>
  <c r="L80" i="1" s="1"/>
  <c r="L88" i="1" s="1"/>
  <c r="L96" i="1" s="1"/>
  <c r="L33" i="1"/>
  <c r="L32" i="1"/>
  <c r="L31" i="1"/>
  <c r="L30" i="1"/>
  <c r="B21" i="2" l="1"/>
  <c r="B23" i="2" s="1"/>
  <c r="B5" i="2"/>
  <c r="B8" i="2" s="1"/>
  <c r="L77" i="1"/>
  <c r="L85" i="1" s="1"/>
  <c r="L93" i="1" s="1"/>
  <c r="L79" i="1"/>
  <c r="L87" i="1" s="1"/>
  <c r="L95" i="1" s="1"/>
  <c r="J81" i="1"/>
  <c r="L78" i="1"/>
  <c r="L86" i="1" s="1"/>
  <c r="L94" i="1" s="1"/>
  <c r="L76" i="1"/>
  <c r="L84" i="1" s="1"/>
  <c r="L92" i="1" s="1"/>
  <c r="B2" i="2"/>
  <c r="L57" i="1"/>
  <c r="G18" i="2"/>
  <c r="G20" i="2"/>
  <c r="F18" i="2"/>
  <c r="F20" i="2"/>
  <c r="G21" i="2" s="1"/>
  <c r="G23" i="2" s="1"/>
  <c r="E20" i="2"/>
  <c r="F21" i="2" s="1"/>
  <c r="F23" i="2" s="1"/>
  <c r="E18" i="2"/>
  <c r="D20" i="2"/>
  <c r="E21" i="2" s="1"/>
  <c r="E23" i="2" s="1"/>
  <c r="D18" i="2"/>
  <c r="D24" i="2" s="1"/>
  <c r="C18" i="2"/>
  <c r="B20" i="2"/>
  <c r="C21" i="2" s="1"/>
  <c r="C23" i="2" s="1"/>
  <c r="B18" i="2"/>
  <c r="L81" i="1" l="1"/>
  <c r="G89" i="1"/>
  <c r="G97" i="1" s="1"/>
  <c r="D89" i="1"/>
  <c r="D97" i="1" s="1"/>
  <c r="F24" i="2"/>
  <c r="E24" i="2"/>
  <c r="G24" i="2"/>
  <c r="C24" i="2"/>
  <c r="B24" i="2"/>
  <c r="B25" i="2" s="1"/>
  <c r="B26" i="2" l="1"/>
  <c r="L73" i="1"/>
  <c r="F89" i="1"/>
  <c r="L65" i="1"/>
  <c r="E25" i="2"/>
  <c r="E26" i="2" s="1"/>
  <c r="G25" i="2"/>
  <c r="G26" i="2" s="1"/>
  <c r="C25" i="2"/>
  <c r="C26" i="2" s="1"/>
  <c r="D25" i="2"/>
  <c r="D26" i="2" s="1"/>
  <c r="F25" i="2"/>
  <c r="F26" i="2" s="1"/>
  <c r="L89" i="1" l="1"/>
  <c r="L97" i="1" s="1"/>
  <c r="C97" i="1"/>
  <c r="F97" i="1"/>
  <c r="J89" i="1"/>
  <c r="J9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Lucas Szwec</author>
    <author>Aaron Trotter</author>
  </authors>
  <commentList>
    <comment ref="B7" authorId="0" shapeId="0" xr:uid="{FC83FDFB-A4CA-46C1-AD5C-383DE71D5E17}">
      <text>
        <r>
          <rPr>
            <b/>
            <sz val="9"/>
            <color rgb="FF000000"/>
            <rFont val="Tahoma"/>
            <family val="2"/>
          </rPr>
          <t>Lucas Szwec:</t>
        </r>
        <r>
          <rPr>
            <sz val="9"/>
            <color rgb="FF000000"/>
            <rFont val="Tahoma"/>
            <family val="2"/>
          </rPr>
          <t xml:space="preserve">
</t>
        </r>
        <r>
          <rPr>
            <sz val="9"/>
            <color rgb="FF000000"/>
            <rFont val="Tahoma"/>
            <family val="2"/>
          </rPr>
          <t xml:space="preserve">30 min = .5 hours
</t>
        </r>
        <r>
          <rPr>
            <sz val="9"/>
            <color rgb="FF000000"/>
            <rFont val="Tahoma"/>
            <family val="2"/>
          </rPr>
          <t>45 min = .75 hours</t>
        </r>
      </text>
    </comment>
    <comment ref="B9" authorId="1" shapeId="0" xr:uid="{D4BBE7C6-7785-DC4A-A472-114A5027C620}">
      <text>
        <r>
          <rPr>
            <b/>
            <sz val="10"/>
            <color rgb="FF000000"/>
            <rFont val="Tahoma"/>
            <family val="2"/>
          </rPr>
          <t>Aaron Trotter:</t>
        </r>
        <r>
          <rPr>
            <sz val="10"/>
            <color rgb="FF000000"/>
            <rFont val="Tahoma"/>
            <family val="2"/>
          </rPr>
          <t xml:space="preserve">
</t>
        </r>
        <r>
          <rPr>
            <sz val="10"/>
            <color rgb="FF000000"/>
            <rFont val="Tahoma"/>
            <family val="2"/>
          </rPr>
          <t xml:space="preserve">Add the total # of each session type that occur throughout a full week of coaching.
</t>
        </r>
        <r>
          <rPr>
            <sz val="10"/>
            <color rgb="FF000000"/>
            <rFont val="Tahoma"/>
            <family val="2"/>
          </rPr>
          <t xml:space="preserve">
</t>
        </r>
      </text>
    </comment>
    <comment ref="B17" authorId="1" shapeId="0" xr:uid="{94BA8227-4E34-594A-909A-4C3D3840914F}">
      <text>
        <r>
          <rPr>
            <b/>
            <sz val="10"/>
            <color rgb="FF000000"/>
            <rFont val="Tahoma"/>
            <family val="2"/>
          </rPr>
          <t>Aaron Trotter:</t>
        </r>
        <r>
          <rPr>
            <sz val="10"/>
            <color rgb="FF000000"/>
            <rFont val="Tahoma"/>
            <family val="2"/>
          </rPr>
          <t xml:space="preserve">
</t>
        </r>
        <r>
          <rPr>
            <sz val="10"/>
            <color rgb="FF000000"/>
            <rFont val="Tahoma"/>
            <family val="2"/>
          </rPr>
          <t xml:space="preserve">Only use % of revenue in B18-22. You may need to convert a $ value to %
</t>
        </r>
      </text>
    </comment>
    <comment ref="F24" authorId="1" shapeId="0" xr:uid="{34AFC400-E736-7243-996D-9D9EF8ED746B}">
      <text>
        <r>
          <rPr>
            <b/>
            <sz val="10"/>
            <color rgb="FF000000"/>
            <rFont val="Tahoma"/>
            <family val="2"/>
          </rPr>
          <t>Aaron Trotter:</t>
        </r>
        <r>
          <rPr>
            <sz val="10"/>
            <color rgb="FF000000"/>
            <rFont val="Tahoma"/>
            <family val="2"/>
          </rPr>
          <t xml:space="preserve">
</t>
        </r>
        <r>
          <rPr>
            <sz val="10"/>
            <color rgb="FF000000"/>
            <rFont val="Tahoma"/>
            <family val="2"/>
          </rPr>
          <t>Total # of hours (Coaching + Non Coaching)</t>
        </r>
      </text>
    </comment>
    <comment ref="B25" authorId="0" shapeId="0" xr:uid="{E7A45DA3-5172-4ED5-9EE9-816ABE03AC07}">
      <text>
        <r>
          <rPr>
            <b/>
            <sz val="9"/>
            <color rgb="FF000000"/>
            <rFont val="Tahoma"/>
            <family val="2"/>
          </rPr>
          <t>Lucas Szwec:</t>
        </r>
        <r>
          <rPr>
            <sz val="9"/>
            <color rgb="FF000000"/>
            <rFont val="Tahoma"/>
            <family val="2"/>
          </rPr>
          <t xml:space="preserve">
</t>
        </r>
        <r>
          <rPr>
            <sz val="9"/>
            <color rgb="FF000000"/>
            <rFont val="Tahoma"/>
            <family val="2"/>
          </rPr>
          <t>Annual to Hourly Rate Example Calculation: Salary / weeks worked / hrs worked per week</t>
        </r>
      </text>
    </comment>
    <comment ref="B26" authorId="1" shapeId="0" xr:uid="{0E77E4FC-7191-CC45-9819-401A1302C266}">
      <text>
        <r>
          <rPr>
            <b/>
            <sz val="10"/>
            <color rgb="FF000000"/>
            <rFont val="Tahoma"/>
            <family val="2"/>
          </rPr>
          <t>Aaron Trotter:</t>
        </r>
        <r>
          <rPr>
            <sz val="10"/>
            <color rgb="FF000000"/>
            <rFont val="Tahoma"/>
            <family val="2"/>
          </rPr>
          <t xml:space="preserve">
</t>
        </r>
        <r>
          <rPr>
            <sz val="10"/>
            <color rgb="FF000000"/>
            <rFont val="Aptos Narrow"/>
          </rPr>
          <t xml:space="preserve">Use this section to determine how many Coaching vs Non-Coaching Hours are being given to each coach. To accurately reflect labor cost, your hourly rate in the COGS box should represent </t>
        </r>
        <r>
          <rPr>
            <b/>
            <sz val="10"/>
            <color rgb="FF000000"/>
            <rFont val="Aptos Narrow"/>
          </rPr>
          <t>only the time they are NOT coaching if your coaches are commission based when rendering a session</t>
        </r>
        <r>
          <rPr>
            <sz val="10"/>
            <color rgb="FF000000"/>
            <rFont val="Aptos Narrow"/>
          </rPr>
          <t>. This ensures you’re not double-counting pay during revenue-generating sessions.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Aaron Trotter</author>
  </authors>
  <commentList>
    <comment ref="B25" authorId="0" shapeId="0" xr:uid="{304F3E1A-50CA-164B-A0D0-46EB096FE7D9}">
      <text>
        <r>
          <rPr>
            <b/>
            <sz val="10"/>
            <color rgb="FF000000"/>
            <rFont val="Tahoma"/>
            <family val="2"/>
          </rPr>
          <t>Aaron Trotter:</t>
        </r>
        <r>
          <rPr>
            <sz val="10"/>
            <color rgb="FF000000"/>
            <rFont val="Tahoma"/>
            <family val="2"/>
          </rPr>
          <t xml:space="preserve">
</t>
        </r>
        <r>
          <rPr>
            <sz val="10"/>
            <color rgb="FF000000"/>
            <rFont val="Aptos Narrow"/>
          </rPr>
          <t>Sixty percent (60%) margins are a desirable target to achieving profitability within 6 months.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Aaron Trotter</author>
  </authors>
  <commentList>
    <comment ref="B11" authorId="0" shapeId="0" xr:uid="{4532129A-7559-3C4F-A827-384FBBEE43B4}">
      <text>
        <r>
          <rPr>
            <b/>
            <sz val="10"/>
            <color rgb="FF000000"/>
            <rFont val="Tahoma"/>
            <family val="2"/>
          </rPr>
          <t>Aaron Trotter:</t>
        </r>
        <r>
          <rPr>
            <sz val="10"/>
            <color rgb="FF000000"/>
            <rFont val="Tahoma"/>
            <family val="2"/>
          </rPr>
          <t xml:space="preserve">
</t>
        </r>
        <r>
          <rPr>
            <sz val="10"/>
            <color rgb="FF000000"/>
            <rFont val="Tahoma"/>
            <family val="2"/>
          </rPr>
          <t>% of Revenue Split by Service</t>
        </r>
      </text>
    </comment>
    <comment ref="B20" authorId="0" shapeId="0" xr:uid="{D6683CA8-D296-BE40-95C1-972C72340146}">
      <text>
        <r>
          <rPr>
            <b/>
            <sz val="10"/>
            <color rgb="FF000000"/>
            <rFont val="Tahoma"/>
            <family val="2"/>
          </rPr>
          <t>Aaron Trotter:</t>
        </r>
        <r>
          <rPr>
            <sz val="10"/>
            <color rgb="FF000000"/>
            <rFont val="Tahoma"/>
            <family val="2"/>
          </rPr>
          <t xml:space="preserve">
</t>
        </r>
        <r>
          <rPr>
            <sz val="10"/>
            <color rgb="FF000000"/>
            <rFont val="Tahoma"/>
            <family val="2"/>
          </rPr>
          <t xml:space="preserve">% of Wages split by Service
</t>
        </r>
      </text>
    </comment>
    <comment ref="B29" authorId="0" shapeId="0" xr:uid="{B5CE48D9-DEE4-1C44-886D-5F566CF62B86}">
      <text>
        <r>
          <rPr>
            <b/>
            <sz val="10"/>
            <color rgb="FF000000"/>
            <rFont val="Tahoma"/>
            <family val="2"/>
          </rPr>
          <t>Aaron Trotter:</t>
        </r>
        <r>
          <rPr>
            <sz val="10"/>
            <color rgb="FF000000"/>
            <rFont val="Tahoma"/>
            <family val="2"/>
          </rPr>
          <t xml:space="preserve">
</t>
        </r>
        <r>
          <rPr>
            <sz val="10"/>
            <color rgb="FF000000"/>
            <rFont val="Tahoma"/>
            <family val="2"/>
          </rPr>
          <t>% of Commission split by Service</t>
        </r>
      </text>
    </comment>
    <comment ref="B38" authorId="0" shapeId="0" xr:uid="{37627FEC-0C15-FA4C-9EDF-C4D60E3AAE2C}">
      <text>
        <r>
          <rPr>
            <b/>
            <sz val="10"/>
            <color rgb="FF000000"/>
            <rFont val="Tahoma"/>
            <family val="2"/>
          </rPr>
          <t>Aaron Trotter:</t>
        </r>
        <r>
          <rPr>
            <sz val="10"/>
            <color rgb="FF000000"/>
            <rFont val="Tahoma"/>
            <family val="2"/>
          </rPr>
          <t xml:space="preserve">
</t>
        </r>
        <r>
          <rPr>
            <sz val="10"/>
            <color rgb="FF000000"/>
            <rFont val="Tahoma"/>
            <family val="2"/>
          </rPr>
          <t>% of Profitabiltiy per Service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Aaron Trotter</author>
  </authors>
  <commentList>
    <comment ref="B11" authorId="0" shapeId="0" xr:uid="{ACD373CB-7825-9A48-A11C-C9F4F253A392}">
      <text>
        <r>
          <rPr>
            <b/>
            <sz val="10"/>
            <color rgb="FF000000"/>
            <rFont val="Tahoma"/>
            <family val="2"/>
          </rPr>
          <t>Aaron Trotter:</t>
        </r>
        <r>
          <rPr>
            <sz val="10"/>
            <color rgb="FF000000"/>
            <rFont val="Tahoma"/>
            <family val="2"/>
          </rPr>
          <t xml:space="preserve">
</t>
        </r>
        <r>
          <rPr>
            <sz val="10"/>
            <color rgb="FF000000"/>
            <rFont val="Tahoma"/>
            <family val="2"/>
          </rPr>
          <t>% of Revenue Split by Service</t>
        </r>
      </text>
    </comment>
    <comment ref="B20" authorId="0" shapeId="0" xr:uid="{1F0CF861-160E-4F4A-870F-379F4ACDD699}">
      <text>
        <r>
          <rPr>
            <b/>
            <sz val="10"/>
            <color rgb="FF000000"/>
            <rFont val="Tahoma"/>
            <family val="2"/>
          </rPr>
          <t>Aaron Trotter:</t>
        </r>
        <r>
          <rPr>
            <sz val="10"/>
            <color rgb="FF000000"/>
            <rFont val="Tahoma"/>
            <family val="2"/>
          </rPr>
          <t xml:space="preserve">
</t>
        </r>
        <r>
          <rPr>
            <sz val="10"/>
            <color rgb="FF000000"/>
            <rFont val="Tahoma"/>
            <family val="2"/>
          </rPr>
          <t xml:space="preserve">% of Wages split by Service
</t>
        </r>
      </text>
    </comment>
    <comment ref="B29" authorId="0" shapeId="0" xr:uid="{5BC00933-8F56-EA40-B15E-47AB3252D8D3}">
      <text>
        <r>
          <rPr>
            <b/>
            <sz val="10"/>
            <color rgb="FF000000"/>
            <rFont val="Tahoma"/>
            <family val="2"/>
          </rPr>
          <t>Aaron Trotter:</t>
        </r>
        <r>
          <rPr>
            <sz val="10"/>
            <color rgb="FF000000"/>
            <rFont val="Tahoma"/>
            <family val="2"/>
          </rPr>
          <t xml:space="preserve">
</t>
        </r>
        <r>
          <rPr>
            <sz val="10"/>
            <color rgb="FF000000"/>
            <rFont val="Tahoma"/>
            <family val="2"/>
          </rPr>
          <t>% of Commission split by Service</t>
        </r>
      </text>
    </comment>
    <comment ref="B38" authorId="0" shapeId="0" xr:uid="{97853F64-4C1C-7A4D-AF00-2AAC031CF449}">
      <text>
        <r>
          <rPr>
            <b/>
            <sz val="10"/>
            <color rgb="FF000000"/>
            <rFont val="Tahoma"/>
            <family val="2"/>
          </rPr>
          <t>Aaron Trotter:</t>
        </r>
        <r>
          <rPr>
            <sz val="10"/>
            <color rgb="FF000000"/>
            <rFont val="Tahoma"/>
            <family val="2"/>
          </rPr>
          <t xml:space="preserve">
</t>
        </r>
        <r>
          <rPr>
            <sz val="10"/>
            <color rgb="FF000000"/>
            <rFont val="Tahoma"/>
            <family val="2"/>
          </rPr>
          <t>% of Profitabiltiy per Service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Aaron Trotter</author>
  </authors>
  <commentList>
    <comment ref="B11" authorId="0" shapeId="0" xr:uid="{E5096805-1FC5-6347-888A-4CCB07342705}">
      <text>
        <r>
          <rPr>
            <b/>
            <sz val="10"/>
            <color rgb="FF000000"/>
            <rFont val="Tahoma"/>
            <family val="2"/>
          </rPr>
          <t>Aaron Trotter:</t>
        </r>
        <r>
          <rPr>
            <sz val="10"/>
            <color rgb="FF000000"/>
            <rFont val="Tahoma"/>
            <family val="2"/>
          </rPr>
          <t xml:space="preserve">
</t>
        </r>
        <r>
          <rPr>
            <sz val="10"/>
            <color rgb="FF000000"/>
            <rFont val="Tahoma"/>
            <family val="2"/>
          </rPr>
          <t>% of Revenue Split by Service</t>
        </r>
      </text>
    </comment>
    <comment ref="B20" authorId="0" shapeId="0" xr:uid="{46D34024-E181-5F42-9C34-BA889D8E9272}">
      <text>
        <r>
          <rPr>
            <b/>
            <sz val="10"/>
            <color rgb="FF000000"/>
            <rFont val="Tahoma"/>
            <family val="2"/>
          </rPr>
          <t>Aaron Trotter:</t>
        </r>
        <r>
          <rPr>
            <sz val="10"/>
            <color rgb="FF000000"/>
            <rFont val="Tahoma"/>
            <family val="2"/>
          </rPr>
          <t xml:space="preserve">
</t>
        </r>
        <r>
          <rPr>
            <sz val="10"/>
            <color rgb="FF000000"/>
            <rFont val="Tahoma"/>
            <family val="2"/>
          </rPr>
          <t xml:space="preserve">% of Wages split by Service
</t>
        </r>
      </text>
    </comment>
    <comment ref="B29" authorId="0" shapeId="0" xr:uid="{56B878A0-9624-FA4F-8D39-83BF1D0CF629}">
      <text>
        <r>
          <rPr>
            <b/>
            <sz val="10"/>
            <color rgb="FF000000"/>
            <rFont val="Tahoma"/>
            <family val="2"/>
          </rPr>
          <t>Aaron Trotter:</t>
        </r>
        <r>
          <rPr>
            <sz val="10"/>
            <color rgb="FF000000"/>
            <rFont val="Tahoma"/>
            <family val="2"/>
          </rPr>
          <t xml:space="preserve">
</t>
        </r>
        <r>
          <rPr>
            <sz val="10"/>
            <color rgb="FF000000"/>
            <rFont val="Tahoma"/>
            <family val="2"/>
          </rPr>
          <t>% of Commission split by Service</t>
        </r>
      </text>
    </comment>
    <comment ref="B38" authorId="0" shapeId="0" xr:uid="{C9DA59B9-CAB3-494C-8BBF-96BD092DF5EF}">
      <text>
        <r>
          <rPr>
            <b/>
            <sz val="10"/>
            <color rgb="FF000000"/>
            <rFont val="Tahoma"/>
            <family val="2"/>
          </rPr>
          <t>Aaron Trotter:</t>
        </r>
        <r>
          <rPr>
            <sz val="10"/>
            <color rgb="FF000000"/>
            <rFont val="Tahoma"/>
            <family val="2"/>
          </rPr>
          <t xml:space="preserve">
</t>
        </r>
        <r>
          <rPr>
            <sz val="10"/>
            <color rgb="FF000000"/>
            <rFont val="Tahoma"/>
            <family val="2"/>
          </rPr>
          <t>% of Profitabiltiy per Service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Matt Bridges</author>
  </authors>
  <commentList>
    <comment ref="F1" authorId="0" shapeId="0" xr:uid="{0FA0D0A5-A4B9-4A68-BC1B-2ECD52D0CB61}">
      <text>
        <r>
          <rPr>
            <sz val="9"/>
            <color indexed="81"/>
            <rFont val="Tahoma"/>
            <family val="2"/>
          </rPr>
          <t>Training sessions of 2-6 people</t>
        </r>
      </text>
    </comment>
    <comment ref="G1" authorId="0" shapeId="0" xr:uid="{DA106946-7818-47ED-979E-0472D06C63ED}">
      <text>
        <r>
          <rPr>
            <sz val="9"/>
            <color indexed="81"/>
            <rFont val="Tahoma"/>
            <family val="2"/>
          </rPr>
          <t>Training sessions of 2-10 people</t>
        </r>
      </text>
    </comment>
    <comment ref="B37" authorId="0" shapeId="0" xr:uid="{DA2819C9-ECD3-46D5-A247-DEF022E5C140}">
      <text>
        <r>
          <rPr>
            <sz val="9"/>
            <color indexed="81"/>
            <rFont val="Tahoma"/>
            <family val="2"/>
          </rPr>
          <t>Only fill in one of COGS $ per Session or COGS % of Session Value</t>
        </r>
      </text>
    </comment>
    <comment ref="B44" authorId="0" shapeId="0" xr:uid="{32B9450D-0E90-41B2-9CB1-730A2685BDEF}">
      <text>
        <r>
          <rPr>
            <sz val="9"/>
            <color indexed="81"/>
            <rFont val="Tahoma"/>
            <family val="2"/>
          </rPr>
          <t>Only fill in one of COGS $ per Session or COGS % of Session Value</t>
        </r>
      </text>
    </comment>
  </commentList>
</comments>
</file>

<file path=xl/sharedStrings.xml><?xml version="1.0" encoding="utf-8"?>
<sst xmlns="http://schemas.openxmlformats.org/spreadsheetml/2006/main" count="409" uniqueCount="99">
  <si>
    <t xml:space="preserve">AF Training Services Pro Forma </t>
  </si>
  <si>
    <t> </t>
  </si>
  <si>
    <t xml:space="preserve">You are responsible for inputting all assumptions based on your own business strategy and decisions. The data in the charts below is derived from the assumptions you input. This data is for illustrative purposes only; your actual revenue and ROI may vary significantly. We do not make any representations about a franchisee's future financial performance or the past financial performance of these operations. We also do not authorize our employees or representatives to make any such representations either orally or in writing </t>
  </si>
  <si>
    <t>This Pro Forma should be used as you consider adding Training Services into your operations. The assumptions and charts below are to be used for: AF HIIT, AF Strong, AF GTR, and 1:1 Personal Training (30/60m).</t>
  </si>
  <si>
    <t>Step 1: Go to Inputs tab and fill in all the peach colored cells</t>
  </si>
  <si>
    <t>Step 2: Go to any of the light blue colored tabs to view profit calculators</t>
  </si>
  <si>
    <t>Session Details</t>
  </si>
  <si>
    <t>30 Min 1:1</t>
  </si>
  <si>
    <t>60 Min 1:1</t>
  </si>
  <si>
    <t>AF Strong</t>
  </si>
  <si>
    <t>AF HIIT</t>
  </si>
  <si>
    <t>GTR</t>
  </si>
  <si>
    <t>Input Cell, please fill in</t>
  </si>
  <si>
    <t>Average Members Per Session</t>
  </si>
  <si>
    <t>Formula Cell, leave as is</t>
  </si>
  <si>
    <t>Session Capacity</t>
  </si>
  <si>
    <t>Group Training Recovery</t>
  </si>
  <si>
    <t>Percentage Capacity</t>
  </si>
  <si>
    <t>Price Per Session Per Member</t>
  </si>
  <si>
    <t>Time (Hours)</t>
  </si>
  <si>
    <t xml:space="preserve">Weekly Number of Sessions </t>
  </si>
  <si>
    <t>PT Manager</t>
  </si>
  <si>
    <t>Coach 1</t>
  </si>
  <si>
    <t>Coach 2</t>
  </si>
  <si>
    <t>Coach 3</t>
  </si>
  <si>
    <t>Coach 4</t>
  </si>
  <si>
    <t>Total Sessions</t>
  </si>
  <si>
    <t>Bonus/Commisions % of Total Revenue</t>
  </si>
  <si>
    <t>COGS</t>
  </si>
  <si>
    <t>Hourly Rate</t>
  </si>
  <si>
    <t>Non-Coaching Hours</t>
  </si>
  <si>
    <t>Coaching Hours</t>
  </si>
  <si>
    <t>Weekly Hours</t>
  </si>
  <si>
    <t>Session Averages</t>
  </si>
  <si>
    <t>Revenue</t>
  </si>
  <si>
    <t>Commission</t>
  </si>
  <si>
    <t>Profit</t>
  </si>
  <si>
    <t>Profit %</t>
  </si>
  <si>
    <t>*Profit excludes hourly wages</t>
  </si>
  <si>
    <t>Weekly Totals</t>
  </si>
  <si>
    <t>Total</t>
  </si>
  <si>
    <t>Trainer %</t>
  </si>
  <si>
    <t>Total Revenue</t>
  </si>
  <si>
    <t>%</t>
  </si>
  <si>
    <t>Wages</t>
  </si>
  <si>
    <t>Total Wages</t>
  </si>
  <si>
    <t>Total Commision</t>
  </si>
  <si>
    <t>Total Profit</t>
  </si>
  <si>
    <t>Total Profit %</t>
  </si>
  <si>
    <t>Monthly Totals</t>
  </si>
  <si>
    <t>Annual Totals</t>
  </si>
  <si>
    <t>Launch Goals</t>
  </si>
  <si>
    <t>Monthly Fit and Strong Sessions</t>
  </si>
  <si>
    <t xml:space="preserve">Paid Trials Count Goal </t>
  </si>
  <si>
    <t>Launch TE to Long term PT %</t>
  </si>
  <si>
    <t xml:space="preserve">New Client Count </t>
  </si>
  <si>
    <t>Session Per Week Per Member</t>
  </si>
  <si>
    <t>New Avg PT Month Package Value</t>
  </si>
  <si>
    <t xml:space="preserve">Projected Draft Added </t>
  </si>
  <si>
    <t>Month 1</t>
  </si>
  <si>
    <t>Month 2</t>
  </si>
  <si>
    <t>Month 3</t>
  </si>
  <si>
    <t>Month 4</t>
  </si>
  <si>
    <t>Month 5</t>
  </si>
  <si>
    <t>Month 6</t>
  </si>
  <si>
    <t xml:space="preserve">Average Monthly New Members </t>
  </si>
  <si>
    <t xml:space="preserve">FCs @ POS % </t>
  </si>
  <si>
    <t>FC Booked at POS</t>
  </si>
  <si>
    <t>Floor Pulls</t>
  </si>
  <si>
    <t xml:space="preserve">FC Show % </t>
  </si>
  <si>
    <t>FC Show</t>
  </si>
  <si>
    <t xml:space="preserve">Long Term Agreement Close % </t>
  </si>
  <si>
    <t>New Long Term PT Agreements</t>
  </si>
  <si>
    <t>TE Agreement Close %</t>
  </si>
  <si>
    <t xml:space="preserve">TE Agreement </t>
  </si>
  <si>
    <t>Current TEs</t>
  </si>
  <si>
    <t>TE Closed to Long Term Agreement %</t>
  </si>
  <si>
    <t>TE Closed to Long Term Agreement</t>
  </si>
  <si>
    <t>Projected Draft Added</t>
  </si>
  <si>
    <t>Total Draft</t>
  </si>
  <si>
    <t>% to revenue goal</t>
  </si>
  <si>
    <t>Weekly Revenue</t>
  </si>
  <si>
    <t>Percussive Therapy 1:1</t>
  </si>
  <si>
    <t>Monthly Total</t>
  </si>
  <si>
    <t>Annual Total</t>
  </si>
  <si>
    <t>% of Total Revenue</t>
  </si>
  <si>
    <t>COGS Monthly Hours</t>
  </si>
  <si>
    <t>Base Salary</t>
  </si>
  <si>
    <t>COGS Hourly Rate</t>
  </si>
  <si>
    <t>Monthly Hours</t>
  </si>
  <si>
    <t>Weekly COGS</t>
  </si>
  <si>
    <t>COGS % of Session Value</t>
  </si>
  <si>
    <t>Total Base Salaries</t>
  </si>
  <si>
    <t>Session COGS</t>
  </si>
  <si>
    <t>Total Session COGS</t>
  </si>
  <si>
    <t>Bonus/Commission</t>
  </si>
  <si>
    <t>Total Bonus/Commission</t>
  </si>
  <si>
    <t>Total Expenses</t>
  </si>
  <si>
    <t>(Does not include Base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</si>
</sst>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43" formatCode="_(* #,##0.00_);_(* \(#,##0.00\);_(* &quot;-&quot;??_);_(@_)"/>
    <numFmt numFmtId="164" formatCode="_(* #,##0_);_(* \(#,##0\);_(* &quot;-&quot;??_);_(@_)"/>
    <numFmt numFmtId="165" formatCode="0.0%"/>
    <numFmt numFmtId="166" formatCode="_(&quot;$&quot;* #,##0_);_(&quot;$&quot;* \(#,##0\);_(&quot;$&quot;* &quot;-&quot;??_);_(@_)"/>
  </numFmts>
  <fonts count="24" x14ac:knownFonts="1">
    <font>
      <sz val="11"/>
      <color theme="1"/>
      <name val="Aptos Narrow"/>
      <family val="2"/>
      <scheme val="minor"/>
    </font>
    <font>
      <sz val="11"/>
      <color theme="1"/>
      <name val="Aptos Narrow"/>
      <family val="2"/>
      <scheme val="minor"/>
    </font>
    <font>
      <sz val="8"/>
      <name val="Aptos Narrow"/>
      <family val="2"/>
      <scheme val="minor"/>
    </font>
    <font>
      <sz val="9"/>
      <color indexed="81"/>
      <name val="Tahoma"/>
      <family val="2"/>
    </font>
    <font>
      <b/>
      <sz val="18"/>
      <color rgb="FFFFFFFF"/>
      <name val="Calibri"/>
      <family val="2"/>
    </font>
    <font>
      <sz val="11"/>
      <color rgb="FF000000"/>
      <name val="Calibri"/>
      <family val="2"/>
    </font>
    <font>
      <b/>
      <sz val="12"/>
      <color rgb="FFFFFFFF"/>
      <name val="Calibri"/>
      <family val="2"/>
    </font>
    <font>
      <sz val="12"/>
      <color rgb="FF000000"/>
      <name val="Calibri"/>
      <family val="2"/>
    </font>
    <font>
      <sz val="12"/>
      <color rgb="FFFFFFFF"/>
      <name val="Aptos Narrow"/>
      <family val="2"/>
    </font>
    <font>
      <b/>
      <sz val="11"/>
      <color theme="0"/>
      <name val="Aptos Narrow"/>
      <family val="2"/>
      <scheme val="minor"/>
    </font>
    <font>
      <b/>
      <sz val="11"/>
      <color theme="1"/>
      <name val="Aptos Narrow"/>
      <family val="2"/>
      <scheme val="minor"/>
    </font>
    <font>
      <b/>
      <sz val="11"/>
      <name val="Aptos Narrow"/>
      <family val="2"/>
      <scheme val="minor"/>
    </font>
    <font>
      <b/>
      <sz val="18"/>
      <color rgb="FFFFFFFF"/>
      <name val="Aptos Narrow"/>
      <family val="2"/>
      <scheme val="minor"/>
    </font>
    <font>
      <b/>
      <sz val="12"/>
      <color rgb="FFFFFFFF"/>
      <name val="Aptos Narrow"/>
      <family val="2"/>
      <scheme val="minor"/>
    </font>
    <font>
      <b/>
      <sz val="18"/>
      <color rgb="FFFFFFFF"/>
      <name val="Aptos Display"/>
      <family val="2"/>
      <scheme val="major"/>
    </font>
    <font>
      <b/>
      <sz val="11"/>
      <color indexed="8"/>
      <name val="Aptos Narrow"/>
      <family val="2"/>
      <scheme val="minor"/>
    </font>
    <font>
      <b/>
      <sz val="9"/>
      <color rgb="FF000000"/>
      <name val="Tahoma"/>
      <family val="2"/>
    </font>
    <font>
      <sz val="9"/>
      <color rgb="FF000000"/>
      <name val="Tahoma"/>
      <family val="2"/>
    </font>
    <font>
      <b/>
      <sz val="10"/>
      <color rgb="FF000000"/>
      <name val="Tahoma"/>
      <family val="2"/>
    </font>
    <font>
      <sz val="10"/>
      <color rgb="FF000000"/>
      <name val="Tahoma"/>
      <family val="2"/>
    </font>
    <font>
      <sz val="11"/>
      <name val="Aptos Narrow"/>
      <family val="2"/>
      <scheme val="minor"/>
    </font>
    <font>
      <b/>
      <sz val="11"/>
      <color theme="0"/>
      <name val="Aptos Narrow"/>
      <scheme val="minor"/>
    </font>
    <font>
      <sz val="10"/>
      <color rgb="FF000000"/>
      <name val="Aptos Narrow"/>
    </font>
    <font>
      <b/>
      <sz val="10"/>
      <color rgb="FF000000"/>
      <name val="Aptos Narrow"/>
    </font>
  </fonts>
  <fills count="10">
    <fill>
      <patternFill patternType="none"/>
    </fill>
    <fill>
      <patternFill patternType="gray125"/>
    </fill>
    <fill>
      <patternFill patternType="solid">
        <fgColor theme="0" tint="-0.14999847407452621"/>
        <bgColor indexed="64"/>
      </patternFill>
    </fill>
    <fill>
      <patternFill patternType="solid">
        <fgColor rgb="FF6E38D5"/>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2" tint="-0.249977111117893"/>
        <bgColor indexed="64"/>
      </patternFill>
    </fill>
  </fills>
  <borders count="3">
    <border>
      <left/>
      <right/>
      <top/>
      <bottom/>
      <diagonal/>
    </border>
    <border>
      <left style="double">
        <color rgb="FFFF0000"/>
      </left>
      <right style="double">
        <color rgb="FFFF0000"/>
      </right>
      <top style="double">
        <color rgb="FFFF0000"/>
      </top>
      <bottom style="double">
        <color rgb="FFFF0000"/>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73">
    <xf numFmtId="0" fontId="0" fillId="0" borderId="0" xfId="0"/>
    <xf numFmtId="164" fontId="0" fillId="0" borderId="0" xfId="1" applyNumberFormat="1" applyFont="1"/>
    <xf numFmtId="166" fontId="0" fillId="0" borderId="0" xfId="2" applyNumberFormat="1" applyFont="1"/>
    <xf numFmtId="165" fontId="0" fillId="0" borderId="0" xfId="3" applyNumberFormat="1" applyFont="1"/>
    <xf numFmtId="166" fontId="0" fillId="0" borderId="0" xfId="0" applyNumberFormat="1"/>
    <xf numFmtId="0" fontId="0" fillId="2" borderId="0" xfId="0" applyFill="1"/>
    <xf numFmtId="165" fontId="0" fillId="0" borderId="1" xfId="3" applyNumberFormat="1" applyFont="1" applyBorder="1" applyAlignment="1">
      <alignment vertical="top" wrapText="1"/>
    </xf>
    <xf numFmtId="164" fontId="0" fillId="0" borderId="1" xfId="1" applyNumberFormat="1" applyFont="1" applyBorder="1" applyAlignment="1">
      <alignment vertical="top" wrapText="1"/>
    </xf>
    <xf numFmtId="166" fontId="0" fillId="0" borderId="0" xfId="2" applyNumberFormat="1" applyFont="1" applyFill="1"/>
    <xf numFmtId="0" fontId="9" fillId="3" borderId="0" xfId="0" applyFont="1" applyFill="1"/>
    <xf numFmtId="0" fontId="9" fillId="3" borderId="0" xfId="0" applyFont="1" applyFill="1" applyAlignment="1">
      <alignment horizontal="center"/>
    </xf>
    <xf numFmtId="0" fontId="0" fillId="3" borderId="0" xfId="0" applyFill="1"/>
    <xf numFmtId="0" fontId="0" fillId="4" borderId="0" xfId="0" applyFill="1"/>
    <xf numFmtId="0" fontId="4" fillId="3" borderId="0" xfId="0" applyFont="1" applyFill="1" applyAlignment="1">
      <alignment wrapText="1"/>
    </xf>
    <xf numFmtId="0" fontId="5" fillId="3" borderId="0" xfId="0" applyFont="1" applyFill="1"/>
    <xf numFmtId="0" fontId="6" fillId="3" borderId="0" xfId="0" applyFont="1" applyFill="1" applyAlignment="1">
      <alignment wrapText="1"/>
    </xf>
    <xf numFmtId="0" fontId="7" fillId="3" borderId="0" xfId="0" applyFont="1" applyFill="1"/>
    <xf numFmtId="0" fontId="8" fillId="3" borderId="0" xfId="0" applyFont="1" applyFill="1" applyAlignment="1">
      <alignment vertical="top" wrapText="1"/>
    </xf>
    <xf numFmtId="0" fontId="7" fillId="3" borderId="0" xfId="0" applyFont="1" applyFill="1" applyAlignment="1">
      <alignment vertical="top"/>
    </xf>
    <xf numFmtId="0" fontId="0" fillId="3" borderId="0" xfId="0" applyFill="1" applyAlignment="1">
      <alignment vertical="top"/>
    </xf>
    <xf numFmtId="0" fontId="8" fillId="3" borderId="0" xfId="0" applyFont="1" applyFill="1" applyAlignment="1">
      <alignment wrapText="1"/>
    </xf>
    <xf numFmtId="0" fontId="0" fillId="5" borderId="0" xfId="0" applyFill="1"/>
    <xf numFmtId="0" fontId="0" fillId="5" borderId="0" xfId="0" applyFill="1" applyAlignment="1">
      <alignment vertical="top"/>
    </xf>
    <xf numFmtId="0" fontId="10" fillId="5" borderId="0" xfId="0" applyFont="1" applyFill="1" applyAlignment="1">
      <alignment vertical="center" textRotation="90"/>
    </xf>
    <xf numFmtId="0" fontId="0" fillId="2" borderId="0" xfId="0" applyFill="1" applyAlignment="1">
      <alignment horizontal="center"/>
    </xf>
    <xf numFmtId="44" fontId="0" fillId="0" borderId="0" xfId="2" applyFont="1"/>
    <xf numFmtId="0" fontId="0" fillId="0" borderId="2" xfId="0" applyBorder="1"/>
    <xf numFmtId="0" fontId="10" fillId="0" borderId="0" xfId="0" applyFont="1"/>
    <xf numFmtId="165" fontId="0" fillId="0" borderId="0" xfId="3" applyNumberFormat="1" applyFont="1" applyBorder="1" applyAlignment="1">
      <alignment vertical="top" wrapText="1"/>
    </xf>
    <xf numFmtId="0" fontId="0" fillId="8" borderId="0" xfId="0" applyFill="1"/>
    <xf numFmtId="0" fontId="9" fillId="8" borderId="0" xfId="0" applyFont="1" applyFill="1"/>
    <xf numFmtId="164" fontId="0" fillId="8" borderId="1" xfId="1" applyNumberFormat="1" applyFont="1" applyFill="1" applyBorder="1" applyAlignment="1">
      <alignment vertical="top" wrapText="1"/>
    </xf>
    <xf numFmtId="44" fontId="0" fillId="8" borderId="1" xfId="2" applyFont="1" applyFill="1" applyBorder="1" applyAlignment="1">
      <alignment vertical="top" wrapText="1"/>
    </xf>
    <xf numFmtId="166" fontId="0" fillId="8" borderId="0" xfId="2" applyNumberFormat="1" applyFont="1" applyFill="1"/>
    <xf numFmtId="166" fontId="0" fillId="0" borderId="2" xfId="2" applyNumberFormat="1" applyFont="1" applyBorder="1"/>
    <xf numFmtId="166" fontId="10" fillId="0" borderId="0" xfId="2" applyNumberFormat="1" applyFont="1"/>
    <xf numFmtId="0" fontId="9" fillId="0" borderId="0" xfId="0" applyFont="1"/>
    <xf numFmtId="0" fontId="9" fillId="0" borderId="0" xfId="0" applyFont="1" applyAlignment="1">
      <alignment horizontal="center"/>
    </xf>
    <xf numFmtId="0" fontId="11" fillId="0" borderId="0" xfId="0" applyFont="1"/>
    <xf numFmtId="166" fontId="0" fillId="0" borderId="0" xfId="2" applyNumberFormat="1" applyFont="1" applyBorder="1"/>
    <xf numFmtId="9" fontId="0" fillId="0" borderId="0" xfId="3" applyFont="1" applyBorder="1"/>
    <xf numFmtId="0" fontId="0" fillId="6" borderId="0" xfId="0" applyFill="1"/>
    <xf numFmtId="0" fontId="0" fillId="7" borderId="0" xfId="0" applyFill="1"/>
    <xf numFmtId="9" fontId="0" fillId="7" borderId="0" xfId="3" applyFont="1" applyFill="1" applyProtection="1"/>
    <xf numFmtId="164" fontId="0" fillId="0" borderId="0" xfId="1" applyNumberFormat="1" applyFont="1" applyProtection="1"/>
    <xf numFmtId="164" fontId="0" fillId="0" borderId="0" xfId="1" applyNumberFormat="1" applyFont="1" applyBorder="1" applyProtection="1"/>
    <xf numFmtId="164" fontId="10" fillId="7" borderId="0" xfId="1" applyNumberFormat="1" applyFont="1" applyFill="1" applyProtection="1"/>
    <xf numFmtId="164" fontId="10" fillId="0" borderId="0" xfId="1" applyNumberFormat="1" applyFont="1" applyProtection="1"/>
    <xf numFmtId="164" fontId="0" fillId="6" borderId="0" xfId="1" applyNumberFormat="1" applyFont="1" applyFill="1" applyProtection="1">
      <protection locked="0"/>
    </xf>
    <xf numFmtId="44" fontId="0" fillId="6" borderId="0" xfId="2" applyFont="1" applyFill="1" applyProtection="1">
      <protection locked="0"/>
    </xf>
    <xf numFmtId="43" fontId="0" fillId="6" borderId="0" xfId="1" applyFont="1" applyFill="1" applyProtection="1">
      <protection locked="0"/>
    </xf>
    <xf numFmtId="164" fontId="0" fillId="6" borderId="2" xfId="1" applyNumberFormat="1" applyFont="1" applyFill="1" applyBorder="1" applyProtection="1">
      <protection locked="0"/>
    </xf>
    <xf numFmtId="9" fontId="0" fillId="6" borderId="0" xfId="3" applyFont="1" applyFill="1" applyProtection="1">
      <protection locked="0"/>
    </xf>
    <xf numFmtId="0" fontId="12" fillId="3" borderId="0" xfId="0" applyFont="1" applyFill="1" applyAlignment="1">
      <alignment wrapText="1"/>
    </xf>
    <xf numFmtId="0" fontId="13" fillId="3" borderId="0" xfId="0" applyFont="1" applyFill="1" applyAlignment="1">
      <alignment vertical="top" wrapText="1"/>
    </xf>
    <xf numFmtId="0" fontId="13" fillId="3" borderId="0" xfId="0" applyFont="1" applyFill="1" applyAlignment="1">
      <alignment wrapText="1"/>
    </xf>
    <xf numFmtId="0" fontId="13" fillId="3" borderId="0" xfId="0" applyFont="1" applyFill="1" applyAlignment="1">
      <alignment horizontal="left" wrapText="1"/>
    </xf>
    <xf numFmtId="0" fontId="14" fillId="3" borderId="0" xfId="0" applyFont="1" applyFill="1" applyAlignment="1">
      <alignment wrapText="1"/>
    </xf>
    <xf numFmtId="0" fontId="15" fillId="0" borderId="0" xfId="0" applyFont="1"/>
    <xf numFmtId="9" fontId="10" fillId="0" borderId="0" xfId="3" applyFont="1"/>
    <xf numFmtId="9" fontId="15" fillId="0" borderId="0" xfId="3" applyFont="1"/>
    <xf numFmtId="164" fontId="20" fillId="7" borderId="0" xfId="1" applyNumberFormat="1" applyFont="1" applyFill="1"/>
    <xf numFmtId="164" fontId="0" fillId="7" borderId="0" xfId="1" applyNumberFormat="1" applyFont="1" applyFill="1"/>
    <xf numFmtId="164" fontId="0" fillId="6" borderId="0" xfId="1" applyNumberFormat="1" applyFont="1" applyFill="1"/>
    <xf numFmtId="0" fontId="21" fillId="3" borderId="0" xfId="0" applyFont="1" applyFill="1" applyAlignment="1">
      <alignment horizontal="center"/>
    </xf>
    <xf numFmtId="0" fontId="21" fillId="0" borderId="0" xfId="0" applyFont="1" applyAlignment="1">
      <alignment horizontal="center"/>
    </xf>
    <xf numFmtId="0" fontId="9" fillId="9" borderId="0" xfId="0" applyFont="1" applyFill="1" applyAlignment="1">
      <alignment horizontal="center"/>
    </xf>
    <xf numFmtId="166" fontId="0" fillId="9" borderId="0" xfId="2" applyNumberFormat="1" applyFont="1" applyFill="1"/>
    <xf numFmtId="166" fontId="0" fillId="9" borderId="2" xfId="2" applyNumberFormat="1" applyFont="1" applyFill="1" applyBorder="1"/>
    <xf numFmtId="6" fontId="0" fillId="6" borderId="0" xfId="2" applyNumberFormat="1" applyFont="1" applyFill="1" applyProtection="1">
      <protection locked="0"/>
    </xf>
    <xf numFmtId="0" fontId="13" fillId="3" borderId="0" xfId="0" applyFont="1" applyFill="1" applyAlignment="1">
      <alignment vertical="top" wrapText="1"/>
    </xf>
    <xf numFmtId="0" fontId="13" fillId="3" borderId="0" xfId="0" applyFont="1" applyFill="1" applyAlignment="1">
      <alignment horizontal="left" wrapText="1"/>
    </xf>
    <xf numFmtId="0" fontId="0" fillId="2" borderId="0" xfId="0" applyFill="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6E38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CDD24-A497-435E-9AC7-D95CC07608B7}">
  <sheetPr>
    <tabColor theme="2" tint="-9.9978637043366805E-2"/>
  </sheetPr>
  <dimension ref="A1:AI10"/>
  <sheetViews>
    <sheetView showGridLines="0" zoomScale="125" zoomScaleNormal="85" workbookViewId="0">
      <selection activeCell="B23" sqref="B23"/>
    </sheetView>
  </sheetViews>
  <sheetFormatPr baseColWidth="10" defaultColWidth="8.83203125" defaultRowHeight="15" x14ac:dyDescent="0.2"/>
  <cols>
    <col min="1" max="1" width="4.1640625" style="21" customWidth="1"/>
    <col min="2" max="2" width="73.83203125" customWidth="1"/>
    <col min="3" max="4" width="19.1640625" customWidth="1"/>
    <col min="5" max="5" width="20" bestFit="1" customWidth="1"/>
    <col min="6" max="8" width="19.1640625" customWidth="1"/>
    <col min="9" max="9" width="12.83203125" bestFit="1" customWidth="1"/>
    <col min="10" max="10" width="12" bestFit="1" customWidth="1"/>
    <col min="11" max="11" width="12.1640625" bestFit="1" customWidth="1"/>
    <col min="12" max="12" width="11.1640625" bestFit="1" customWidth="1"/>
    <col min="13" max="13" width="10" bestFit="1" customWidth="1"/>
  </cols>
  <sheetData>
    <row r="1" spans="1:35" s="11" customFormat="1" ht="25" x14ac:dyDescent="0.3">
      <c r="A1" s="21"/>
      <c r="B1" s="57" t="s">
        <v>0</v>
      </c>
      <c r="C1" s="53" t="s">
        <v>1</v>
      </c>
      <c r="D1" s="53" t="s">
        <v>1</v>
      </c>
      <c r="E1" s="53"/>
      <c r="F1" s="53" t="s">
        <v>1</v>
      </c>
      <c r="G1" s="53" t="s">
        <v>1</v>
      </c>
      <c r="H1" s="53" t="s">
        <v>1</v>
      </c>
      <c r="I1" s="53" t="s">
        <v>1</v>
      </c>
      <c r="J1" s="53" t="s">
        <v>1</v>
      </c>
      <c r="K1" s="53" t="s">
        <v>1</v>
      </c>
      <c r="L1" s="53" t="s">
        <v>1</v>
      </c>
      <c r="M1" s="53" t="s">
        <v>1</v>
      </c>
      <c r="N1" s="53" t="s">
        <v>1</v>
      </c>
      <c r="O1" s="53" t="s">
        <v>1</v>
      </c>
      <c r="P1" s="53" t="s">
        <v>1</v>
      </c>
      <c r="Q1" s="53" t="s">
        <v>1</v>
      </c>
      <c r="R1" s="53" t="s">
        <v>1</v>
      </c>
      <c r="S1" s="53" t="s">
        <v>1</v>
      </c>
      <c r="T1" s="53" t="s">
        <v>1</v>
      </c>
      <c r="U1" s="53" t="s">
        <v>1</v>
      </c>
      <c r="V1" s="53" t="s">
        <v>1</v>
      </c>
      <c r="W1" s="53" t="s">
        <v>1</v>
      </c>
      <c r="X1" s="13"/>
      <c r="Y1" s="13"/>
      <c r="Z1" s="13"/>
      <c r="AA1" s="14"/>
      <c r="AB1" s="14"/>
      <c r="AC1" s="14"/>
      <c r="AD1" s="14"/>
      <c r="AE1" s="14"/>
      <c r="AF1" s="14"/>
      <c r="AG1" s="14"/>
      <c r="AH1" s="14"/>
      <c r="AI1" s="14"/>
    </row>
    <row r="2" spans="1:35" s="11" customFormat="1" ht="13.25" customHeight="1" x14ac:dyDescent="0.2">
      <c r="A2" s="21"/>
      <c r="M2" s="55" t="s">
        <v>1</v>
      </c>
      <c r="N2" s="55" t="s">
        <v>1</v>
      </c>
      <c r="O2" s="55" t="s">
        <v>1</v>
      </c>
      <c r="P2" s="55" t="s">
        <v>1</v>
      </c>
      <c r="Q2" s="55" t="s">
        <v>1</v>
      </c>
      <c r="R2" s="55" t="s">
        <v>1</v>
      </c>
      <c r="S2" s="55" t="s">
        <v>1</v>
      </c>
      <c r="T2" s="55" t="s">
        <v>1</v>
      </c>
      <c r="U2" s="55" t="s">
        <v>1</v>
      </c>
      <c r="V2" s="55" t="s">
        <v>1</v>
      </c>
      <c r="W2" s="55" t="s">
        <v>1</v>
      </c>
      <c r="X2" s="15"/>
      <c r="Y2" s="15"/>
      <c r="Z2" s="15"/>
      <c r="AA2" s="16"/>
      <c r="AB2" s="16"/>
      <c r="AC2" s="16"/>
      <c r="AD2" s="16"/>
      <c r="AE2" s="16"/>
      <c r="AF2" s="16"/>
      <c r="AG2" s="16"/>
      <c r="AH2" s="16"/>
      <c r="AI2" s="16"/>
    </row>
    <row r="3" spans="1:35" s="11" customFormat="1" ht="52.25" customHeight="1" x14ac:dyDescent="0.2">
      <c r="A3" s="21"/>
      <c r="B3" s="70" t="s">
        <v>2</v>
      </c>
      <c r="C3" s="70"/>
      <c r="D3" s="70"/>
      <c r="E3" s="70"/>
      <c r="F3" s="70"/>
      <c r="G3" s="70"/>
      <c r="H3" s="70"/>
      <c r="I3" s="70"/>
      <c r="J3" s="70"/>
      <c r="K3" s="70"/>
      <c r="L3" s="70"/>
      <c r="M3" s="55" t="s">
        <v>1</v>
      </c>
      <c r="N3" s="55" t="s">
        <v>1</v>
      </c>
      <c r="O3" s="55" t="s">
        <v>1</v>
      </c>
      <c r="P3" s="55" t="s">
        <v>1</v>
      </c>
      <c r="Q3" s="55" t="s">
        <v>1</v>
      </c>
      <c r="R3" s="55" t="s">
        <v>1</v>
      </c>
      <c r="S3" s="55" t="s">
        <v>1</v>
      </c>
      <c r="T3" s="55" t="s">
        <v>1</v>
      </c>
      <c r="U3" s="55" t="s">
        <v>1</v>
      </c>
      <c r="V3" s="55" t="s">
        <v>1</v>
      </c>
      <c r="W3" s="55" t="s">
        <v>1</v>
      </c>
      <c r="X3" s="15"/>
      <c r="Y3" s="15"/>
      <c r="Z3" s="15"/>
      <c r="AA3" s="16"/>
      <c r="AB3" s="16"/>
      <c r="AC3" s="16"/>
      <c r="AD3" s="16"/>
      <c r="AE3" s="16"/>
      <c r="AF3" s="16"/>
      <c r="AG3" s="16"/>
      <c r="AH3" s="16"/>
      <c r="AI3" s="16"/>
    </row>
    <row r="4" spans="1:35" s="19" customFormat="1" ht="7.75" customHeight="1" x14ac:dyDescent="0.2">
      <c r="A4" s="22"/>
      <c r="M4" s="54" t="s">
        <v>1</v>
      </c>
      <c r="N4" s="54" t="s">
        <v>1</v>
      </c>
      <c r="O4" s="54" t="s">
        <v>1</v>
      </c>
      <c r="P4" s="54" t="s">
        <v>1</v>
      </c>
      <c r="Q4" s="54" t="s">
        <v>1</v>
      </c>
      <c r="R4" s="54" t="s">
        <v>1</v>
      </c>
      <c r="S4" s="54" t="s">
        <v>1</v>
      </c>
      <c r="T4" s="54" t="s">
        <v>1</v>
      </c>
      <c r="U4" s="54" t="s">
        <v>1</v>
      </c>
      <c r="V4" s="54" t="s">
        <v>1</v>
      </c>
      <c r="W4" s="54" t="s">
        <v>1</v>
      </c>
      <c r="X4" s="17"/>
      <c r="Y4" s="17"/>
      <c r="Z4" s="17"/>
      <c r="AA4" s="18"/>
      <c r="AB4" s="18"/>
      <c r="AC4" s="18"/>
      <c r="AD4" s="18"/>
      <c r="AE4" s="18"/>
      <c r="AF4" s="18"/>
      <c r="AG4" s="18"/>
      <c r="AH4" s="18"/>
      <c r="AI4" s="18"/>
    </row>
    <row r="5" spans="1:35" s="11" customFormat="1" ht="17" x14ac:dyDescent="0.2">
      <c r="A5" s="21"/>
      <c r="B5" s="70" t="s">
        <v>3</v>
      </c>
      <c r="C5" s="70"/>
      <c r="D5" s="70"/>
      <c r="E5" s="70"/>
      <c r="F5" s="70"/>
      <c r="G5" s="70"/>
      <c r="H5" s="70"/>
      <c r="I5" s="70"/>
      <c r="J5" s="70"/>
      <c r="K5" s="70"/>
      <c r="L5" s="70"/>
      <c r="M5" s="55" t="s">
        <v>1</v>
      </c>
      <c r="N5" s="55" t="s">
        <v>1</v>
      </c>
      <c r="O5" s="55" t="s">
        <v>1</v>
      </c>
      <c r="P5" s="55" t="s">
        <v>1</v>
      </c>
      <c r="Q5" s="55" t="s">
        <v>1</v>
      </c>
      <c r="R5" s="55" t="s">
        <v>1</v>
      </c>
      <c r="S5" s="55" t="s">
        <v>1</v>
      </c>
      <c r="T5" s="55" t="s">
        <v>1</v>
      </c>
      <c r="U5" s="55" t="s">
        <v>1</v>
      </c>
      <c r="V5" s="55" t="s">
        <v>1</v>
      </c>
      <c r="W5" s="55" t="s">
        <v>1</v>
      </c>
      <c r="X5" s="20"/>
      <c r="Y5" s="20"/>
      <c r="Z5" s="20"/>
      <c r="AA5" s="16"/>
      <c r="AB5" s="16"/>
      <c r="AC5" s="16"/>
      <c r="AD5" s="16"/>
      <c r="AE5" s="16"/>
      <c r="AF5" s="16"/>
      <c r="AG5" s="16"/>
      <c r="AH5" s="16"/>
      <c r="AI5" s="16"/>
    </row>
    <row r="6" spans="1:35" s="11" customFormat="1" ht="7.25" customHeight="1" x14ac:dyDescent="0.2">
      <c r="A6" s="21"/>
      <c r="B6" s="55"/>
      <c r="C6" s="55"/>
      <c r="D6" s="55"/>
      <c r="E6" s="55"/>
      <c r="F6" s="55"/>
      <c r="G6" s="55"/>
      <c r="H6" s="55"/>
      <c r="I6" s="55"/>
      <c r="J6" s="55"/>
      <c r="K6" s="55"/>
      <c r="L6" s="55"/>
      <c r="M6" s="55"/>
      <c r="N6" s="55"/>
      <c r="O6" s="55"/>
      <c r="P6" s="55"/>
      <c r="Q6" s="55"/>
      <c r="R6" s="55"/>
      <c r="S6" s="55"/>
      <c r="T6" s="55"/>
      <c r="U6" s="55"/>
      <c r="V6" s="55"/>
      <c r="W6" s="55"/>
      <c r="X6" s="20"/>
      <c r="Y6" s="20"/>
      <c r="Z6" s="20"/>
      <c r="AA6" s="16"/>
      <c r="AB6" s="16"/>
      <c r="AC6" s="16"/>
      <c r="AD6" s="16"/>
      <c r="AE6" s="16"/>
      <c r="AF6" s="16"/>
      <c r="AG6" s="16"/>
      <c r="AH6" s="16"/>
      <c r="AI6" s="16"/>
    </row>
    <row r="7" spans="1:35" s="11" customFormat="1" ht="16" x14ac:dyDescent="0.2">
      <c r="A7" s="21"/>
      <c r="B7" s="71" t="s">
        <v>4</v>
      </c>
      <c r="C7" s="71"/>
      <c r="D7" s="71"/>
      <c r="E7" s="71"/>
      <c r="F7" s="71"/>
      <c r="G7" s="71"/>
      <c r="H7" s="55"/>
      <c r="I7" s="55"/>
      <c r="J7" s="55"/>
      <c r="K7" s="55"/>
      <c r="L7" s="55"/>
      <c r="M7" s="55"/>
      <c r="N7" s="55"/>
      <c r="O7" s="55"/>
      <c r="P7" s="55"/>
      <c r="Q7" s="55"/>
      <c r="R7" s="55"/>
      <c r="S7" s="55"/>
      <c r="T7" s="55"/>
      <c r="U7" s="55"/>
      <c r="V7" s="55"/>
      <c r="W7" s="55"/>
      <c r="X7" s="20"/>
      <c r="Y7" s="20"/>
      <c r="Z7" s="20"/>
      <c r="AA7" s="16"/>
      <c r="AB7" s="16"/>
      <c r="AC7" s="16"/>
      <c r="AD7" s="16"/>
      <c r="AE7" s="16"/>
      <c r="AF7" s="16"/>
      <c r="AG7" s="16"/>
      <c r="AH7" s="16"/>
      <c r="AI7" s="16"/>
    </row>
    <row r="8" spans="1:35" s="11" customFormat="1" ht="12" customHeight="1" x14ac:dyDescent="0.2">
      <c r="A8" s="21"/>
      <c r="B8" s="56"/>
      <c r="C8" s="56"/>
      <c r="D8" s="56"/>
      <c r="E8" s="56"/>
      <c r="F8" s="56"/>
      <c r="G8" s="56"/>
      <c r="H8" s="55"/>
      <c r="I8" s="55"/>
      <c r="J8" s="55"/>
      <c r="K8" s="55"/>
      <c r="L8" s="55"/>
      <c r="M8" s="55"/>
      <c r="N8" s="55"/>
      <c r="O8" s="55"/>
      <c r="P8" s="55"/>
      <c r="Q8" s="55"/>
      <c r="R8" s="55"/>
      <c r="S8" s="55"/>
      <c r="T8" s="55"/>
      <c r="U8" s="55"/>
      <c r="V8" s="55"/>
      <c r="W8" s="55"/>
      <c r="X8" s="20"/>
      <c r="Y8" s="20"/>
      <c r="Z8" s="20"/>
      <c r="AA8" s="16"/>
      <c r="AB8" s="16"/>
      <c r="AC8" s="16"/>
      <c r="AD8" s="16"/>
      <c r="AE8" s="16"/>
      <c r="AF8" s="16"/>
      <c r="AG8" s="16"/>
      <c r="AH8" s="16"/>
      <c r="AI8" s="16"/>
    </row>
    <row r="9" spans="1:35" s="11" customFormat="1" ht="17" x14ac:dyDescent="0.2">
      <c r="A9" s="21"/>
      <c r="B9" s="56" t="s">
        <v>5</v>
      </c>
      <c r="C9" s="56"/>
      <c r="D9" s="56"/>
      <c r="E9" s="56"/>
      <c r="F9" s="56"/>
      <c r="G9" s="56"/>
      <c r="H9" s="55"/>
      <c r="I9" s="55"/>
      <c r="J9" s="55"/>
      <c r="K9" s="55"/>
      <c r="L9" s="55"/>
      <c r="M9" s="55"/>
    </row>
    <row r="10" spans="1:35" s="11" customFormat="1" ht="16" x14ac:dyDescent="0.2">
      <c r="A10" s="21"/>
      <c r="B10" s="56"/>
      <c r="C10" s="56"/>
      <c r="D10" s="56"/>
      <c r="E10" s="56"/>
      <c r="F10" s="56"/>
      <c r="G10" s="56"/>
      <c r="H10" s="55"/>
      <c r="I10" s="55"/>
      <c r="J10" s="55"/>
      <c r="K10" s="55"/>
      <c r="L10" s="55"/>
      <c r="M10" s="55"/>
    </row>
  </sheetData>
  <mergeCells count="3">
    <mergeCell ref="B3:L3"/>
    <mergeCell ref="B5:L5"/>
    <mergeCell ref="B7:G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290AE-E64E-4DD3-8B65-74AD02D5608F}">
  <sheetPr>
    <tabColor theme="5" tint="0.79998168889431442"/>
  </sheetPr>
  <dimension ref="B2:J29"/>
  <sheetViews>
    <sheetView showGridLines="0" tabSelected="1" zoomScale="126" zoomScaleNormal="126" workbookViewId="0">
      <selection activeCell="J10" sqref="J10"/>
    </sheetView>
  </sheetViews>
  <sheetFormatPr baseColWidth="10" defaultColWidth="8.83203125" defaultRowHeight="15" x14ac:dyDescent="0.2"/>
  <cols>
    <col min="2" max="2" width="33.5" bestFit="1" customWidth="1"/>
    <col min="3" max="3" width="10.5" bestFit="1" customWidth="1"/>
    <col min="4" max="4" width="18.33203125" customWidth="1"/>
    <col min="5" max="5" width="14.1640625" bestFit="1" customWidth="1"/>
    <col min="6" max="7" width="12.5" customWidth="1"/>
    <col min="8" max="8" width="4.1640625" customWidth="1"/>
  </cols>
  <sheetData>
    <row r="2" spans="2:10" x14ac:dyDescent="0.2">
      <c r="B2" s="9" t="s">
        <v>6</v>
      </c>
      <c r="C2" s="10" t="s">
        <v>7</v>
      </c>
      <c r="D2" s="10" t="s">
        <v>8</v>
      </c>
      <c r="E2" s="10" t="s">
        <v>9</v>
      </c>
      <c r="F2" s="10" t="s">
        <v>10</v>
      </c>
      <c r="G2" s="10" t="s">
        <v>11</v>
      </c>
      <c r="I2" s="41"/>
      <c r="J2" t="s">
        <v>12</v>
      </c>
    </row>
    <row r="3" spans="2:10" x14ac:dyDescent="0.2">
      <c r="B3" t="s">
        <v>13</v>
      </c>
      <c r="C3" s="48"/>
      <c r="D3" s="48"/>
      <c r="E3" s="48"/>
      <c r="F3" s="48"/>
      <c r="G3" s="48"/>
      <c r="I3" s="42"/>
      <c r="J3" t="s">
        <v>14</v>
      </c>
    </row>
    <row r="4" spans="2:10" x14ac:dyDescent="0.2">
      <c r="B4" t="s">
        <v>15</v>
      </c>
      <c r="C4" s="48"/>
      <c r="D4" s="48"/>
      <c r="E4" s="48"/>
      <c r="F4" s="48"/>
      <c r="G4" s="48"/>
      <c r="I4" s="64" t="s">
        <v>11</v>
      </c>
      <c r="J4" t="s">
        <v>16</v>
      </c>
    </row>
    <row r="5" spans="2:10" x14ac:dyDescent="0.2">
      <c r="B5" t="s">
        <v>17</v>
      </c>
      <c r="C5" s="43"/>
      <c r="D5" s="43"/>
      <c r="E5" s="43"/>
      <c r="F5" s="43"/>
      <c r="G5" s="43"/>
      <c r="I5" s="65"/>
    </row>
    <row r="6" spans="2:10" x14ac:dyDescent="0.2">
      <c r="B6" t="s">
        <v>18</v>
      </c>
      <c r="C6" s="69"/>
      <c r="D6" s="69"/>
      <c r="E6" s="69"/>
      <c r="F6" s="69"/>
      <c r="G6" s="49"/>
    </row>
    <row r="7" spans="2:10" x14ac:dyDescent="0.2">
      <c r="B7" t="s">
        <v>19</v>
      </c>
      <c r="C7" s="50"/>
      <c r="D7" s="50"/>
      <c r="E7" s="50"/>
      <c r="F7" s="50"/>
      <c r="G7" s="50"/>
    </row>
    <row r="9" spans="2:10" x14ac:dyDescent="0.2">
      <c r="B9" s="9" t="s">
        <v>20</v>
      </c>
      <c r="C9" s="10" t="s">
        <v>7</v>
      </c>
      <c r="D9" s="10" t="s">
        <v>8</v>
      </c>
      <c r="E9" s="10" t="s">
        <v>9</v>
      </c>
      <c r="F9" s="10" t="s">
        <v>10</v>
      </c>
      <c r="G9" s="10" t="s">
        <v>11</v>
      </c>
    </row>
    <row r="10" spans="2:10" x14ac:dyDescent="0.2">
      <c r="B10" t="s">
        <v>21</v>
      </c>
      <c r="C10" s="48"/>
      <c r="D10" s="48"/>
      <c r="E10" s="48"/>
      <c r="F10" s="48"/>
      <c r="G10" s="48"/>
      <c r="H10" s="44"/>
    </row>
    <row r="11" spans="2:10" x14ac:dyDescent="0.2">
      <c r="B11" t="s">
        <v>22</v>
      </c>
      <c r="C11" s="48"/>
      <c r="D11" s="48"/>
      <c r="E11" s="48"/>
      <c r="F11" s="48"/>
      <c r="G11" s="48"/>
      <c r="H11" s="44"/>
    </row>
    <row r="12" spans="2:10" x14ac:dyDescent="0.2">
      <c r="B12" t="s">
        <v>23</v>
      </c>
      <c r="C12" s="48"/>
      <c r="D12" s="48"/>
      <c r="E12" s="48"/>
      <c r="F12" s="48"/>
      <c r="G12" s="48"/>
      <c r="H12" s="44"/>
    </row>
    <row r="13" spans="2:10" x14ac:dyDescent="0.2">
      <c r="B13" t="s">
        <v>24</v>
      </c>
      <c r="C13" s="48"/>
      <c r="D13" s="48"/>
      <c r="E13" s="48"/>
      <c r="F13" s="48"/>
      <c r="G13" s="48"/>
      <c r="H13" s="44"/>
    </row>
    <row r="14" spans="2:10" x14ac:dyDescent="0.2">
      <c r="B14" s="26" t="s">
        <v>25</v>
      </c>
      <c r="C14" s="51"/>
      <c r="D14" s="51"/>
      <c r="E14" s="51"/>
      <c r="F14" s="51"/>
      <c r="G14" s="51"/>
      <c r="H14" s="45"/>
    </row>
    <row r="15" spans="2:10" x14ac:dyDescent="0.2">
      <c r="B15" s="27" t="s">
        <v>26</v>
      </c>
      <c r="C15" s="46">
        <f t="shared" ref="C15:G15" si="0">SUM(C10:C14)</f>
        <v>0</v>
      </c>
      <c r="D15" s="46">
        <f t="shared" si="0"/>
        <v>0</v>
      </c>
      <c r="E15" s="46">
        <f t="shared" si="0"/>
        <v>0</v>
      </c>
      <c r="F15" s="46">
        <f t="shared" si="0"/>
        <v>0</v>
      </c>
      <c r="G15" s="46">
        <f t="shared" si="0"/>
        <v>0</v>
      </c>
      <c r="H15" s="47"/>
    </row>
    <row r="17" spans="2:7" x14ac:dyDescent="0.2">
      <c r="B17" s="9" t="s">
        <v>27</v>
      </c>
      <c r="C17" s="10" t="s">
        <v>7</v>
      </c>
      <c r="D17" s="10" t="s">
        <v>8</v>
      </c>
      <c r="E17" s="10" t="s">
        <v>9</v>
      </c>
      <c r="F17" s="10" t="s">
        <v>10</v>
      </c>
      <c r="G17" s="10" t="s">
        <v>11</v>
      </c>
    </row>
    <row r="18" spans="2:7" x14ac:dyDescent="0.2">
      <c r="B18" t="s">
        <v>21</v>
      </c>
      <c r="C18" s="52"/>
      <c r="D18" s="52"/>
      <c r="E18" s="52"/>
      <c r="F18" s="52"/>
      <c r="G18" s="52"/>
    </row>
    <row r="19" spans="2:7" x14ac:dyDescent="0.2">
      <c r="B19" t="s">
        <v>22</v>
      </c>
      <c r="C19" s="52"/>
      <c r="D19" s="52"/>
      <c r="E19" s="52"/>
      <c r="F19" s="52"/>
      <c r="G19" s="52"/>
    </row>
    <row r="20" spans="2:7" x14ac:dyDescent="0.2">
      <c r="B20" t="s">
        <v>23</v>
      </c>
      <c r="C20" s="52"/>
      <c r="D20" s="52"/>
      <c r="E20" s="52"/>
      <c r="F20" s="52"/>
      <c r="G20" s="52"/>
    </row>
    <row r="21" spans="2:7" x14ac:dyDescent="0.2">
      <c r="B21" t="s">
        <v>24</v>
      </c>
      <c r="C21" s="52"/>
      <c r="D21" s="52"/>
      <c r="E21" s="52"/>
      <c r="F21" s="52"/>
      <c r="G21" s="52"/>
    </row>
    <row r="22" spans="2:7" x14ac:dyDescent="0.2">
      <c r="B22" t="s">
        <v>25</v>
      </c>
      <c r="C22" s="52"/>
      <c r="D22" s="52"/>
      <c r="E22" s="52"/>
      <c r="F22" s="52"/>
      <c r="G22" s="52"/>
    </row>
    <row r="24" spans="2:7" x14ac:dyDescent="0.2">
      <c r="B24" s="9" t="s">
        <v>28</v>
      </c>
      <c r="C24" s="9" t="s">
        <v>29</v>
      </c>
      <c r="D24" s="9" t="s">
        <v>30</v>
      </c>
      <c r="E24" s="9" t="s">
        <v>31</v>
      </c>
      <c r="F24" s="9" t="s">
        <v>32</v>
      </c>
    </row>
    <row r="25" spans="2:7" x14ac:dyDescent="0.2">
      <c r="B25" t="s">
        <v>21</v>
      </c>
      <c r="C25" s="49"/>
      <c r="D25" s="61"/>
      <c r="E25" s="62"/>
      <c r="F25" s="63"/>
    </row>
    <row r="26" spans="2:7" x14ac:dyDescent="0.2">
      <c r="B26" t="s">
        <v>22</v>
      </c>
      <c r="C26" s="49"/>
      <c r="D26" s="61"/>
      <c r="E26" s="62"/>
      <c r="F26" s="63"/>
    </row>
    <row r="27" spans="2:7" x14ac:dyDescent="0.2">
      <c r="B27" t="s">
        <v>23</v>
      </c>
      <c r="C27" s="49"/>
      <c r="D27" s="61"/>
      <c r="E27" s="62"/>
      <c r="F27" s="63"/>
    </row>
    <row r="28" spans="2:7" x14ac:dyDescent="0.2">
      <c r="B28" t="s">
        <v>24</v>
      </c>
      <c r="C28" s="49"/>
      <c r="D28" s="61"/>
      <c r="E28" s="62"/>
      <c r="F28" s="63"/>
    </row>
    <row r="29" spans="2:7" x14ac:dyDescent="0.2">
      <c r="B29" t="s">
        <v>25</v>
      </c>
      <c r="C29" s="49"/>
      <c r="D29" s="61"/>
      <c r="E29" s="62"/>
      <c r="F29" s="63"/>
    </row>
  </sheetData>
  <dataValidations count="1">
    <dataValidation type="whole" allowBlank="1" showInputMessage="1" showErrorMessage="1" sqref="C4:D4" xr:uid="{E5D833A3-47F8-421A-ACBD-B64F453A7CCF}">
      <formula1>1</formula1>
      <formula2>1</formula2>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F79A7-8640-4615-8B13-65F952FD3819}">
  <sheetPr>
    <tabColor theme="7" tint="0.79998168889431442"/>
  </sheetPr>
  <dimension ref="B1:G32"/>
  <sheetViews>
    <sheetView showGridLines="0" zoomScale="159" zoomScaleNormal="159" workbookViewId="0">
      <pane xSplit="2" ySplit="2" topLeftCell="C11" activePane="bottomRight" state="frozen"/>
      <selection pane="topRight" activeCell="G30" sqref="G30"/>
      <selection pane="bottomLeft" activeCell="G30" sqref="G30"/>
      <selection pane="bottomRight" activeCell="D34" sqref="D34"/>
    </sheetView>
  </sheetViews>
  <sheetFormatPr baseColWidth="10" defaultColWidth="8.83203125" defaultRowHeight="15" x14ac:dyDescent="0.2"/>
  <cols>
    <col min="2" max="2" width="16" bestFit="1" customWidth="1"/>
    <col min="3" max="6" width="12.6640625" customWidth="1"/>
    <col min="7" max="7" width="16.1640625" customWidth="1"/>
  </cols>
  <sheetData>
    <row r="1" spans="2:7" ht="8.5" customHeight="1" x14ac:dyDescent="0.2"/>
    <row r="2" spans="2:7" x14ac:dyDescent="0.2">
      <c r="B2" s="9" t="s">
        <v>33</v>
      </c>
      <c r="C2" s="10" t="s">
        <v>7</v>
      </c>
      <c r="D2" s="10" t="s">
        <v>8</v>
      </c>
      <c r="E2" s="10" t="s">
        <v>9</v>
      </c>
      <c r="F2" s="10" t="s">
        <v>10</v>
      </c>
      <c r="G2" s="10" t="s">
        <v>11</v>
      </c>
    </row>
    <row r="3" spans="2:7" ht="5.5" customHeight="1" x14ac:dyDescent="0.2">
      <c r="B3" s="36"/>
      <c r="C3" s="37"/>
      <c r="D3" s="37"/>
      <c r="E3" s="37"/>
      <c r="F3" s="37"/>
      <c r="G3" s="37"/>
    </row>
    <row r="4" spans="2:7" x14ac:dyDescent="0.2">
      <c r="B4" s="38" t="s">
        <v>34</v>
      </c>
      <c r="C4" s="37"/>
      <c r="D4" s="37"/>
      <c r="E4" s="37"/>
      <c r="F4" s="37"/>
      <c r="G4" s="37"/>
    </row>
    <row r="5" spans="2:7" x14ac:dyDescent="0.2">
      <c r="B5" t="s">
        <v>21</v>
      </c>
      <c r="C5" s="2">
        <f>IF(Inputs!C10&gt;0,Inputs!C$3*Inputs!C$6,0)</f>
        <v>0</v>
      </c>
      <c r="D5" s="2">
        <f>IF(Inputs!D10&gt;0,Inputs!D$3*Inputs!D$6,0)</f>
        <v>0</v>
      </c>
      <c r="E5" s="2">
        <f>IF(Inputs!E10&gt;0,Inputs!E$3*Inputs!E$6,0)</f>
        <v>0</v>
      </c>
      <c r="F5" s="2">
        <f>IF(Inputs!F10&gt;0,Inputs!F$3*Inputs!F$6,0)</f>
        <v>0</v>
      </c>
      <c r="G5" s="2">
        <f>IF(Inputs!G10&gt;0,Inputs!G$3*Inputs!G$6,0)</f>
        <v>0</v>
      </c>
    </row>
    <row r="6" spans="2:7" x14ac:dyDescent="0.2">
      <c r="B6" t="s">
        <v>22</v>
      </c>
      <c r="C6" s="2">
        <f>IF(Inputs!C11&gt;0,Inputs!C$3*Inputs!C$6,0)</f>
        <v>0</v>
      </c>
      <c r="D6" s="2">
        <f>IF(Inputs!D11&gt;0,Inputs!D$3*Inputs!D$6,0)</f>
        <v>0</v>
      </c>
      <c r="E6" s="2">
        <f>IF(Inputs!E11&gt;0,Inputs!E$3*Inputs!E$6,0)</f>
        <v>0</v>
      </c>
      <c r="F6" s="2">
        <f>IF(Inputs!F11&gt;0,Inputs!F$3*Inputs!F$6,0)</f>
        <v>0</v>
      </c>
      <c r="G6" s="2">
        <f>IF(Inputs!G11&gt;0,Inputs!G$3*Inputs!G$6,0)</f>
        <v>0</v>
      </c>
    </row>
    <row r="7" spans="2:7" x14ac:dyDescent="0.2">
      <c r="B7" t="s">
        <v>23</v>
      </c>
      <c r="C7" s="2">
        <f>IF(Inputs!C12&gt;0,Inputs!C$3*Inputs!C$6,0)</f>
        <v>0</v>
      </c>
      <c r="D7" s="2">
        <f>IF(Inputs!D12&gt;0,Inputs!D$3*Inputs!D$6,0)</f>
        <v>0</v>
      </c>
      <c r="E7" s="2">
        <f>IF(Inputs!E12&gt;0,Inputs!E$3*Inputs!E$6,0)</f>
        <v>0</v>
      </c>
      <c r="F7" s="2">
        <f>IF(Inputs!F12&gt;0,Inputs!F$3*Inputs!F$6,0)</f>
        <v>0</v>
      </c>
      <c r="G7" s="2">
        <f>IF(Inputs!G12&gt;0,Inputs!G$3*Inputs!G$6,0)</f>
        <v>0</v>
      </c>
    </row>
    <row r="8" spans="2:7" x14ac:dyDescent="0.2">
      <c r="B8" t="s">
        <v>24</v>
      </c>
      <c r="C8" s="2">
        <f>IF(Inputs!C13&gt;0,Inputs!C$3*Inputs!C$6,0)</f>
        <v>0</v>
      </c>
      <c r="D8" s="2">
        <f>IF(Inputs!D13&gt;0,Inputs!D$3*Inputs!D$6,0)</f>
        <v>0</v>
      </c>
      <c r="E8" s="2">
        <f>IF(Inputs!E13&gt;0,Inputs!E$3*Inputs!E$6,0)</f>
        <v>0</v>
      </c>
      <c r="F8" s="2">
        <f>IF(Inputs!F13&gt;0,Inputs!F$3*Inputs!F$6,0)</f>
        <v>0</v>
      </c>
      <c r="G8" s="2">
        <f>IF(Inputs!G13&gt;0,Inputs!G$3*Inputs!G$6,0)</f>
        <v>0</v>
      </c>
    </row>
    <row r="9" spans="2:7" x14ac:dyDescent="0.2">
      <c r="B9" t="s">
        <v>25</v>
      </c>
      <c r="C9" s="2">
        <f>IF(Inputs!C14&gt;0,Inputs!C$3*Inputs!C$6,0)</f>
        <v>0</v>
      </c>
      <c r="D9" s="2">
        <f>IF(Inputs!D14&gt;0,Inputs!D$3*Inputs!D$6,0)</f>
        <v>0</v>
      </c>
      <c r="E9" s="2">
        <f>IF(Inputs!E14&gt;0,Inputs!E$3*Inputs!E$6,0)</f>
        <v>0</v>
      </c>
      <c r="F9" s="2">
        <f>IF(Inputs!F14&gt;0,Inputs!F$3*Inputs!F$6,0)</f>
        <v>0</v>
      </c>
      <c r="G9" s="2">
        <f>IF(Inputs!G14&gt;0,Inputs!G$3*Inputs!G$6,0)</f>
        <v>0</v>
      </c>
    </row>
    <row r="10" spans="2:7" ht="8.5" customHeight="1" x14ac:dyDescent="0.2"/>
    <row r="11" spans="2:7" x14ac:dyDescent="0.2">
      <c r="B11" s="38" t="s">
        <v>35</v>
      </c>
      <c r="C11" s="37"/>
      <c r="D11" s="37"/>
      <c r="E11" s="37"/>
      <c r="F11" s="37"/>
      <c r="G11" s="37"/>
    </row>
    <row r="12" spans="2:7" x14ac:dyDescent="0.2">
      <c r="B12" t="s">
        <v>21</v>
      </c>
      <c r="C12" s="39">
        <f>IF(Inputs!C10&gt;0,C5*Inputs!C18,0)</f>
        <v>0</v>
      </c>
      <c r="D12" s="39">
        <f>IF(Inputs!D10&gt;0,D5*Inputs!D18,0)</f>
        <v>0</v>
      </c>
      <c r="E12" s="39">
        <f>IF(Inputs!E10&gt;0,E5*Inputs!E18,0)</f>
        <v>0</v>
      </c>
      <c r="F12" s="39">
        <f>IF(Inputs!F10&gt;0,F5*Inputs!F18,0)</f>
        <v>0</v>
      </c>
      <c r="G12" s="39">
        <f>IF(Inputs!G10&gt;0,G5*Inputs!G18,0)</f>
        <v>0</v>
      </c>
    </row>
    <row r="13" spans="2:7" x14ac:dyDescent="0.2">
      <c r="B13" t="s">
        <v>22</v>
      </c>
      <c r="C13" s="39">
        <f>IF(Inputs!C11&gt;0,C6*Inputs!C19,0)</f>
        <v>0</v>
      </c>
      <c r="D13" s="39">
        <f>IF(Inputs!D11&gt;0,D6*Inputs!D19,0)</f>
        <v>0</v>
      </c>
      <c r="E13" s="39">
        <f>IF(Inputs!E11&gt;0,E6*Inputs!E19,0)</f>
        <v>0</v>
      </c>
      <c r="F13" s="39">
        <f>IF(Inputs!F11&gt;0,F6*Inputs!F19,0)</f>
        <v>0</v>
      </c>
      <c r="G13" s="39">
        <f>IF(Inputs!G11&gt;0,G6*Inputs!G19,0)</f>
        <v>0</v>
      </c>
    </row>
    <row r="14" spans="2:7" x14ac:dyDescent="0.2">
      <c r="B14" t="s">
        <v>23</v>
      </c>
      <c r="C14" s="39">
        <f>IF(Inputs!C12&gt;0,C7*Inputs!C20,0)</f>
        <v>0</v>
      </c>
      <c r="D14" s="39">
        <f>IF(Inputs!D12&gt;0,D7*Inputs!D20,0)</f>
        <v>0</v>
      </c>
      <c r="E14" s="39">
        <f>IF(Inputs!E12&gt;0,E7*Inputs!E20,0)</f>
        <v>0</v>
      </c>
      <c r="F14" s="39">
        <f>IF(Inputs!F12&gt;0,F7*Inputs!F20,0)</f>
        <v>0</v>
      </c>
      <c r="G14" s="39">
        <f>IF(Inputs!G12&gt;0,G7*Inputs!G20,0)</f>
        <v>0</v>
      </c>
    </row>
    <row r="15" spans="2:7" x14ac:dyDescent="0.2">
      <c r="B15" t="s">
        <v>24</v>
      </c>
      <c r="C15" s="39">
        <f>IF(Inputs!C13&gt;0,C8*Inputs!C21,0)</f>
        <v>0</v>
      </c>
      <c r="D15" s="39">
        <f>IF(Inputs!D13&gt;0,D8*Inputs!D21,0)</f>
        <v>0</v>
      </c>
      <c r="E15" s="39">
        <f>IF(Inputs!E13&gt;0,E8*Inputs!E21,0)</f>
        <v>0</v>
      </c>
      <c r="F15" s="39">
        <f>IF(Inputs!F13&gt;0,F8*Inputs!F21,0)</f>
        <v>0</v>
      </c>
      <c r="G15" s="39">
        <f>IF(Inputs!G13&gt;0,G8*Inputs!G21,0)</f>
        <v>0</v>
      </c>
    </row>
    <row r="16" spans="2:7" x14ac:dyDescent="0.2">
      <c r="B16" t="s">
        <v>25</v>
      </c>
      <c r="C16" s="39">
        <f>IF(Inputs!C14&gt;0,C9*Inputs!C22,0)</f>
        <v>0</v>
      </c>
      <c r="D16" s="39">
        <f>IF(Inputs!D14&gt;0,D9*Inputs!D22,0)</f>
        <v>0</v>
      </c>
      <c r="E16" s="39">
        <f>IF(Inputs!E14&gt;0,E9*Inputs!E22,0)</f>
        <v>0</v>
      </c>
      <c r="F16" s="39">
        <f>IF(Inputs!F14&gt;0,F9*Inputs!F22,0)</f>
        <v>0</v>
      </c>
      <c r="G16" s="39">
        <f>IF(Inputs!G14&gt;0,G9*Inputs!G22,0)</f>
        <v>0</v>
      </c>
    </row>
    <row r="17" spans="2:7" ht="8.5" customHeight="1" x14ac:dyDescent="0.2"/>
    <row r="18" spans="2:7" x14ac:dyDescent="0.2">
      <c r="B18" s="38" t="s">
        <v>36</v>
      </c>
      <c r="C18" s="37"/>
      <c r="D18" s="37"/>
      <c r="E18" s="37"/>
      <c r="F18" s="37"/>
      <c r="G18" s="37"/>
    </row>
    <row r="19" spans="2:7" x14ac:dyDescent="0.2">
      <c r="B19" t="s">
        <v>21</v>
      </c>
      <c r="C19" s="39">
        <f>IF(Inputs!C10&gt;0,C5-C12,0)</f>
        <v>0</v>
      </c>
      <c r="D19" s="39">
        <f>IF(Inputs!D10&gt;0,D5-D12,0)</f>
        <v>0</v>
      </c>
      <c r="E19" s="39">
        <f>IF(Inputs!E10&gt;0,E5-E12,0)</f>
        <v>0</v>
      </c>
      <c r="F19" s="39">
        <f>IF(Inputs!F10&gt;0,F5-F12,0)</f>
        <v>0</v>
      </c>
      <c r="G19" s="39">
        <f>IF(Inputs!G10&gt;0,G5-G12,0)</f>
        <v>0</v>
      </c>
    </row>
    <row r="20" spans="2:7" x14ac:dyDescent="0.2">
      <c r="B20" t="s">
        <v>22</v>
      </c>
      <c r="C20" s="39">
        <f>IF(Inputs!C11&gt;0,C6-C13,0)</f>
        <v>0</v>
      </c>
      <c r="D20" s="39">
        <f>IF(Inputs!D11&gt;0,D6-D13,0)</f>
        <v>0</v>
      </c>
      <c r="E20" s="39">
        <f>IF(Inputs!E11&gt;0,E6-E13,0)</f>
        <v>0</v>
      </c>
      <c r="F20" s="39">
        <f>IF(Inputs!F11&gt;0,F6-F13,0)</f>
        <v>0</v>
      </c>
      <c r="G20" s="39">
        <f>IF(Inputs!G11&gt;0,G6-G13,0)</f>
        <v>0</v>
      </c>
    </row>
    <row r="21" spans="2:7" x14ac:dyDescent="0.2">
      <c r="B21" t="s">
        <v>23</v>
      </c>
      <c r="C21" s="39">
        <f>IF(Inputs!C12&gt;0,C7-C14,0)</f>
        <v>0</v>
      </c>
      <c r="D21" s="39">
        <f>IF(Inputs!D12&gt;0,D7-D14,0)</f>
        <v>0</v>
      </c>
      <c r="E21" s="39">
        <f>IF(Inputs!E12&gt;0,E7-E14,0)</f>
        <v>0</v>
      </c>
      <c r="F21" s="39">
        <f>IF(Inputs!F12&gt;0,F7-F14,0)</f>
        <v>0</v>
      </c>
      <c r="G21" s="39">
        <f>IF(Inputs!G12&gt;0,G7-G14,0)</f>
        <v>0</v>
      </c>
    </row>
    <row r="22" spans="2:7" x14ac:dyDescent="0.2">
      <c r="B22" t="s">
        <v>24</v>
      </c>
      <c r="C22" s="39">
        <f>IF(Inputs!C13&gt;0,C8-C15,0)</f>
        <v>0</v>
      </c>
      <c r="D22" s="39">
        <f>IF(Inputs!D13&gt;0,D8-D15,0)</f>
        <v>0</v>
      </c>
      <c r="E22" s="39">
        <f>IF(Inputs!E13&gt;0,E8-E15,0)</f>
        <v>0</v>
      </c>
      <c r="F22" s="39">
        <f>IF(Inputs!F13&gt;0,F8-F15,0)</f>
        <v>0</v>
      </c>
      <c r="G22" s="39">
        <f>IF(Inputs!G13&gt;0,G8-G15,0)</f>
        <v>0</v>
      </c>
    </row>
    <row r="23" spans="2:7" x14ac:dyDescent="0.2">
      <c r="B23" t="s">
        <v>25</v>
      </c>
      <c r="C23" s="39">
        <f>IF(Inputs!C14&gt;0,C9-C16,0)</f>
        <v>0</v>
      </c>
      <c r="D23" s="39">
        <f>IF(Inputs!D14&gt;0,D9-D16,0)</f>
        <v>0</v>
      </c>
      <c r="E23" s="39">
        <f>IF(Inputs!E14&gt;0,E9-E16,0)</f>
        <v>0</v>
      </c>
      <c r="F23" s="39">
        <f>IF(Inputs!F14&gt;0,F9-F16,0)</f>
        <v>0</v>
      </c>
      <c r="G23" s="39">
        <f>IF(Inputs!G14&gt;0,G9-G16,0)</f>
        <v>0</v>
      </c>
    </row>
    <row r="25" spans="2:7" x14ac:dyDescent="0.2">
      <c r="B25" s="38" t="s">
        <v>37</v>
      </c>
      <c r="C25" s="37"/>
      <c r="D25" s="37"/>
      <c r="E25" s="37"/>
      <c r="F25" s="37"/>
      <c r="G25" s="37"/>
    </row>
    <row r="26" spans="2:7" x14ac:dyDescent="0.2">
      <c r="B26" t="s">
        <v>21</v>
      </c>
      <c r="C26" s="40">
        <f>IFERROR(C19/C5,0)</f>
        <v>0</v>
      </c>
      <c r="D26" s="40">
        <f t="shared" ref="D26:G26" si="0">IFERROR(D19/D5,0)</f>
        <v>0</v>
      </c>
      <c r="E26" s="40">
        <f t="shared" si="0"/>
        <v>0</v>
      </c>
      <c r="F26" s="40">
        <f t="shared" si="0"/>
        <v>0</v>
      </c>
      <c r="G26" s="40">
        <f t="shared" si="0"/>
        <v>0</v>
      </c>
    </row>
    <row r="27" spans="2:7" x14ac:dyDescent="0.2">
      <c r="B27" t="s">
        <v>22</v>
      </c>
      <c r="C27" s="40">
        <f t="shared" ref="C27:G27" si="1">IFERROR(C20/C6,0)</f>
        <v>0</v>
      </c>
      <c r="D27" s="40">
        <f t="shared" si="1"/>
        <v>0</v>
      </c>
      <c r="E27" s="40">
        <f t="shared" si="1"/>
        <v>0</v>
      </c>
      <c r="F27" s="40">
        <f t="shared" si="1"/>
        <v>0</v>
      </c>
      <c r="G27" s="40">
        <f t="shared" si="1"/>
        <v>0</v>
      </c>
    </row>
    <row r="28" spans="2:7" x14ac:dyDescent="0.2">
      <c r="B28" t="s">
        <v>23</v>
      </c>
      <c r="C28" s="40">
        <f t="shared" ref="C28:G28" si="2">IFERROR(C21/C7,0)</f>
        <v>0</v>
      </c>
      <c r="D28" s="40">
        <f t="shared" si="2"/>
        <v>0</v>
      </c>
      <c r="E28" s="40">
        <f t="shared" si="2"/>
        <v>0</v>
      </c>
      <c r="F28" s="40">
        <f t="shared" si="2"/>
        <v>0</v>
      </c>
      <c r="G28" s="40">
        <f t="shared" si="2"/>
        <v>0</v>
      </c>
    </row>
    <row r="29" spans="2:7" x14ac:dyDescent="0.2">
      <c r="B29" t="s">
        <v>24</v>
      </c>
      <c r="C29" s="40">
        <f t="shared" ref="C29:G29" si="3">IFERROR(C22/C8,0)</f>
        <v>0</v>
      </c>
      <c r="D29" s="40">
        <f t="shared" si="3"/>
        <v>0</v>
      </c>
      <c r="E29" s="40">
        <f t="shared" si="3"/>
        <v>0</v>
      </c>
      <c r="F29" s="40">
        <f t="shared" si="3"/>
        <v>0</v>
      </c>
      <c r="G29" s="40">
        <f t="shared" si="3"/>
        <v>0</v>
      </c>
    </row>
    <row r="30" spans="2:7" x14ac:dyDescent="0.2">
      <c r="B30" t="s">
        <v>25</v>
      </c>
      <c r="C30" s="40">
        <f t="shared" ref="C30:G30" si="4">IFERROR(C23/C9,0)</f>
        <v>0</v>
      </c>
      <c r="D30" s="40">
        <f t="shared" si="4"/>
        <v>0</v>
      </c>
      <c r="E30" s="40">
        <f t="shared" si="4"/>
        <v>0</v>
      </c>
      <c r="F30" s="40">
        <f t="shared" si="4"/>
        <v>0</v>
      </c>
      <c r="G30" s="40">
        <f t="shared" si="4"/>
        <v>0</v>
      </c>
    </row>
    <row r="32" spans="2:7" x14ac:dyDescent="0.2">
      <c r="B32" t="s">
        <v>38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1267-8285-4623-89FA-3D1260646FC1}">
  <sheetPr>
    <tabColor theme="7" tint="0.79998168889431442"/>
  </sheetPr>
  <dimension ref="B1:I40"/>
  <sheetViews>
    <sheetView showGridLines="0" zoomScaleNormal="85" workbookViewId="0">
      <pane xSplit="2" ySplit="2" topLeftCell="C16" activePane="bottomRight" state="frozen"/>
      <selection pane="topRight" activeCell="G30" sqref="G30"/>
      <selection pane="bottomLeft" activeCell="G30" sqref="G30"/>
      <selection pane="bottomRight" activeCell="H40" sqref="H40"/>
    </sheetView>
  </sheetViews>
  <sheetFormatPr baseColWidth="10" defaultColWidth="8.83203125" defaultRowHeight="15" x14ac:dyDescent="0.2"/>
  <cols>
    <col min="2" max="2" width="16" bestFit="1" customWidth="1"/>
    <col min="3" max="9" width="12.6640625" customWidth="1"/>
  </cols>
  <sheetData>
    <row r="1" spans="2:9" ht="8.5" customHeight="1" x14ac:dyDescent="0.2"/>
    <row r="2" spans="2:9" x14ac:dyDescent="0.2">
      <c r="B2" s="9" t="s">
        <v>39</v>
      </c>
      <c r="C2" s="10" t="s">
        <v>7</v>
      </c>
      <c r="D2" s="10" t="s">
        <v>8</v>
      </c>
      <c r="E2" s="10" t="s">
        <v>9</v>
      </c>
      <c r="F2" s="10" t="s">
        <v>10</v>
      </c>
      <c r="G2" s="10" t="s">
        <v>11</v>
      </c>
      <c r="H2" s="10" t="s">
        <v>40</v>
      </c>
      <c r="I2" s="10" t="s">
        <v>41</v>
      </c>
    </row>
    <row r="3" spans="2:9" ht="5.5" customHeight="1" x14ac:dyDescent="0.2">
      <c r="B3" s="36"/>
      <c r="C3" s="37"/>
      <c r="D3" s="37"/>
      <c r="E3" s="37"/>
      <c r="F3" s="37"/>
      <c r="G3" s="37"/>
      <c r="H3" s="37"/>
    </row>
    <row r="4" spans="2:9" x14ac:dyDescent="0.2">
      <c r="B4" s="38" t="s">
        <v>34</v>
      </c>
      <c r="C4" s="37"/>
      <c r="D4" s="37"/>
      <c r="E4" s="37"/>
      <c r="F4" s="37"/>
      <c r="G4" s="37"/>
      <c r="H4" s="37"/>
    </row>
    <row r="5" spans="2:9" x14ac:dyDescent="0.2">
      <c r="B5" t="s">
        <v>21</v>
      </c>
      <c r="C5" s="2">
        <f>Inputs!C$3*Inputs!C$6*Inputs!C10</f>
        <v>0</v>
      </c>
      <c r="D5" s="2">
        <f>Inputs!D$3*Inputs!D$6*Inputs!D10</f>
        <v>0</v>
      </c>
      <c r="E5" s="2">
        <f>Inputs!E$3*Inputs!E$6*Inputs!E10</f>
        <v>0</v>
      </c>
      <c r="F5" s="2">
        <f>Inputs!F$3*Inputs!F$6*Inputs!F10</f>
        <v>0</v>
      </c>
      <c r="G5" s="2">
        <f>Inputs!G$3*Inputs!G$6*Inputs!G10</f>
        <v>0</v>
      </c>
      <c r="H5" s="2">
        <f>SUM(C5:G5)</f>
        <v>0</v>
      </c>
      <c r="I5" s="3">
        <f>IFERROR(SUM(C5:G5)/SUM(C$5:G$9),0)</f>
        <v>0</v>
      </c>
    </row>
    <row r="6" spans="2:9" x14ac:dyDescent="0.2">
      <c r="B6" t="s">
        <v>22</v>
      </c>
      <c r="C6" s="2">
        <f>Inputs!C$3*Inputs!C$6*Inputs!C11</f>
        <v>0</v>
      </c>
      <c r="D6" s="2">
        <f>Inputs!D$3*Inputs!D$6*Inputs!D11</f>
        <v>0</v>
      </c>
      <c r="E6" s="2">
        <f>Inputs!E$3*Inputs!E$6*Inputs!E11</f>
        <v>0</v>
      </c>
      <c r="F6" s="2">
        <f>Inputs!F$3*Inputs!F$6*Inputs!F11</f>
        <v>0</v>
      </c>
      <c r="G6" s="2">
        <f>Inputs!G$3*Inputs!G$6*Inputs!G11</f>
        <v>0</v>
      </c>
      <c r="H6" s="2">
        <f>SUM(C6:G6)</f>
        <v>0</v>
      </c>
      <c r="I6" s="3">
        <f>IFERROR(SUM(C6:G6)/SUM(C$5:G$9),0)</f>
        <v>0</v>
      </c>
    </row>
    <row r="7" spans="2:9" x14ac:dyDescent="0.2">
      <c r="B7" t="s">
        <v>23</v>
      </c>
      <c r="C7" s="2">
        <f>Inputs!C$3*Inputs!C$6*Inputs!C12</f>
        <v>0</v>
      </c>
      <c r="D7" s="2">
        <f>Inputs!D$3*Inputs!D$6*Inputs!D12</f>
        <v>0</v>
      </c>
      <c r="E7" s="2">
        <f>Inputs!E$3*Inputs!E$6*Inputs!E12</f>
        <v>0</v>
      </c>
      <c r="F7" s="2">
        <f>Inputs!F$3*Inputs!F$6*Inputs!F12</f>
        <v>0</v>
      </c>
      <c r="G7" s="2">
        <f>Inputs!G$3*Inputs!G$6*Inputs!G12</f>
        <v>0</v>
      </c>
      <c r="H7" s="2">
        <f>SUM(C7:G7)</f>
        <v>0</v>
      </c>
      <c r="I7" s="3">
        <f>IFERROR(SUM(C7:G7)/SUM(C$5:G$9),0)</f>
        <v>0</v>
      </c>
    </row>
    <row r="8" spans="2:9" x14ac:dyDescent="0.2">
      <c r="B8" t="s">
        <v>24</v>
      </c>
      <c r="C8" s="2">
        <f>Inputs!C$3*Inputs!C$6*Inputs!C13</f>
        <v>0</v>
      </c>
      <c r="D8" s="2">
        <f>Inputs!D$3*Inputs!D$6*Inputs!D13</f>
        <v>0</v>
      </c>
      <c r="E8" s="2">
        <f>Inputs!E$3*Inputs!E$6*Inputs!E13</f>
        <v>0</v>
      </c>
      <c r="F8" s="2">
        <f>Inputs!F$3*Inputs!F$6*Inputs!F13</f>
        <v>0</v>
      </c>
      <c r="G8" s="2">
        <f>Inputs!G$3*Inputs!G$6*Inputs!G13</f>
        <v>0</v>
      </c>
      <c r="H8" s="2">
        <f>SUM(C8:G8)</f>
        <v>0</v>
      </c>
      <c r="I8" s="3">
        <f>IFERROR(SUM(C8:G8)/SUM(C$5:G$9),0)</f>
        <v>0</v>
      </c>
    </row>
    <row r="9" spans="2:9" x14ac:dyDescent="0.2">
      <c r="B9" s="26" t="s">
        <v>25</v>
      </c>
      <c r="C9" s="34">
        <f>Inputs!C$3*Inputs!C$6*Inputs!C14</f>
        <v>0</v>
      </c>
      <c r="D9" s="34">
        <f>Inputs!D$3*Inputs!D$6*Inputs!D14</f>
        <v>0</v>
      </c>
      <c r="E9" s="34">
        <f>Inputs!E$3*Inputs!E$6*Inputs!E14</f>
        <v>0</v>
      </c>
      <c r="F9" s="34">
        <f>Inputs!F$3*Inputs!F$6*Inputs!F14</f>
        <v>0</v>
      </c>
      <c r="G9" s="34">
        <f>Inputs!G$3*Inputs!G$6*Inputs!G14</f>
        <v>0</v>
      </c>
      <c r="H9" s="34">
        <f>SUM(C9:G9)</f>
        <v>0</v>
      </c>
      <c r="I9" s="3">
        <f>IFERROR(SUM(C9:G9)/SUM(C$5:G$9),0)</f>
        <v>0</v>
      </c>
    </row>
    <row r="10" spans="2:9" x14ac:dyDescent="0.2">
      <c r="B10" s="27" t="s">
        <v>42</v>
      </c>
      <c r="C10" s="35">
        <f t="shared" ref="C10:G10" si="0">SUM(C5:C9)</f>
        <v>0</v>
      </c>
      <c r="D10" s="35">
        <f t="shared" si="0"/>
        <v>0</v>
      </c>
      <c r="E10" s="35">
        <f t="shared" si="0"/>
        <v>0</v>
      </c>
      <c r="F10" s="35">
        <f t="shared" si="0"/>
        <v>0</v>
      </c>
      <c r="G10" s="35">
        <f t="shared" si="0"/>
        <v>0</v>
      </c>
      <c r="H10" s="35">
        <f t="shared" ref="H10" si="1">SUM(H5:H9)</f>
        <v>0</v>
      </c>
    </row>
    <row r="11" spans="2:9" x14ac:dyDescent="0.2">
      <c r="B11" t="s">
        <v>43</v>
      </c>
      <c r="C11" s="3">
        <f>IFERROR(SUM(C5:C9)/SUM($C$5:$G$9),0)</f>
        <v>0</v>
      </c>
      <c r="D11" s="3">
        <f>IFERROR(SUM(D5:D9)/SUM($C$5:$G$9),0)</f>
        <v>0</v>
      </c>
      <c r="E11" s="3">
        <f>IFERROR(SUM(E5:E9)/SUM($C$5:$G$9),0)</f>
        <v>0</v>
      </c>
      <c r="F11" s="3">
        <f>IFERROR(SUM(F5:F9)/SUM($C$5:$G$9),0)</f>
        <v>0</v>
      </c>
      <c r="G11" s="3">
        <f>IFERROR(SUM(G5:G9)/SUM($C$5:$G$9),0)</f>
        <v>0</v>
      </c>
      <c r="H11" s="3"/>
    </row>
    <row r="12" spans="2:9" ht="8.5" customHeight="1" x14ac:dyDescent="0.2"/>
    <row r="13" spans="2:9" x14ac:dyDescent="0.2">
      <c r="B13" s="38" t="s">
        <v>44</v>
      </c>
      <c r="C13" s="66"/>
      <c r="D13" s="66"/>
      <c r="E13" s="66"/>
      <c r="F13" s="66"/>
      <c r="G13" s="66"/>
      <c r="H13" s="37"/>
    </row>
    <row r="14" spans="2:9" x14ac:dyDescent="0.2">
      <c r="B14" t="s">
        <v>21</v>
      </c>
      <c r="C14" s="67"/>
      <c r="D14" s="67"/>
      <c r="E14" s="67"/>
      <c r="F14" s="67"/>
      <c r="G14" s="67"/>
      <c r="H14" s="2">
        <f>Inputs!C25*Inputs!D25</f>
        <v>0</v>
      </c>
      <c r="I14" s="3">
        <f>IFERROR(SUM(D14:H14)/SUM(D$14:H$18),0)</f>
        <v>0</v>
      </c>
    </row>
    <row r="15" spans="2:9" x14ac:dyDescent="0.2">
      <c r="B15" t="s">
        <v>22</v>
      </c>
      <c r="C15" s="67"/>
      <c r="D15" s="67"/>
      <c r="E15" s="67"/>
      <c r="F15" s="67"/>
      <c r="G15" s="67"/>
      <c r="H15" s="2">
        <f>Inputs!C26*Inputs!D26</f>
        <v>0</v>
      </c>
      <c r="I15" s="3">
        <f t="shared" ref="I15:I18" si="2">IFERROR(SUM(D15:H15)/SUM(D$14:H$18),0)</f>
        <v>0</v>
      </c>
    </row>
    <row r="16" spans="2:9" x14ac:dyDescent="0.2">
      <c r="B16" t="s">
        <v>23</v>
      </c>
      <c r="C16" s="67"/>
      <c r="D16" s="67"/>
      <c r="E16" s="67"/>
      <c r="F16" s="67"/>
      <c r="G16" s="67"/>
      <c r="H16" s="2">
        <f>Inputs!C27*Inputs!D27</f>
        <v>0</v>
      </c>
      <c r="I16" s="3">
        <f t="shared" si="2"/>
        <v>0</v>
      </c>
    </row>
    <row r="17" spans="2:9" x14ac:dyDescent="0.2">
      <c r="B17" t="s">
        <v>24</v>
      </c>
      <c r="C17" s="67"/>
      <c r="D17" s="67"/>
      <c r="E17" s="67"/>
      <c r="F17" s="67"/>
      <c r="G17" s="67"/>
      <c r="H17" s="2">
        <f>Inputs!C28*Inputs!D28</f>
        <v>0</v>
      </c>
      <c r="I17" s="3">
        <f t="shared" si="2"/>
        <v>0</v>
      </c>
    </row>
    <row r="18" spans="2:9" x14ac:dyDescent="0.2">
      <c r="B18" s="26" t="s">
        <v>25</v>
      </c>
      <c r="C18" s="68"/>
      <c r="D18" s="68"/>
      <c r="E18" s="68"/>
      <c r="F18" s="68"/>
      <c r="G18" s="68"/>
      <c r="H18" s="34">
        <f>Inputs!C29*Inputs!D29</f>
        <v>0</v>
      </c>
      <c r="I18" s="3">
        <f t="shared" si="2"/>
        <v>0</v>
      </c>
    </row>
    <row r="19" spans="2:9" x14ac:dyDescent="0.2">
      <c r="B19" s="27" t="s">
        <v>45</v>
      </c>
      <c r="C19" s="35"/>
      <c r="D19" s="35"/>
      <c r="E19" s="35"/>
      <c r="F19" s="35"/>
      <c r="G19" s="35"/>
      <c r="H19" s="35">
        <f t="shared" ref="H19" si="3">SUM(H14:H18)</f>
        <v>0</v>
      </c>
    </row>
    <row r="20" spans="2:9" x14ac:dyDescent="0.2">
      <c r="B20" t="s">
        <v>43</v>
      </c>
      <c r="C20" s="3"/>
      <c r="D20" s="3"/>
      <c r="E20" s="3"/>
      <c r="F20" s="3"/>
      <c r="G20" s="3"/>
      <c r="H20" s="3"/>
    </row>
    <row r="21" spans="2:9" ht="8.5" customHeight="1" x14ac:dyDescent="0.2"/>
    <row r="22" spans="2:9" x14ac:dyDescent="0.2">
      <c r="B22" s="38" t="s">
        <v>35</v>
      </c>
      <c r="C22" s="37"/>
      <c r="D22" s="37"/>
      <c r="E22" s="37"/>
      <c r="F22" s="37"/>
      <c r="G22" s="37"/>
      <c r="H22" s="37"/>
    </row>
    <row r="23" spans="2:9" x14ac:dyDescent="0.2">
      <c r="B23" t="s">
        <v>21</v>
      </c>
      <c r="C23" s="2">
        <f>C5*Inputs!C18</f>
        <v>0</v>
      </c>
      <c r="D23" s="2">
        <f>D5*Inputs!D18</f>
        <v>0</v>
      </c>
      <c r="E23" s="2">
        <f>E5*Inputs!E18</f>
        <v>0</v>
      </c>
      <c r="F23" s="2">
        <f>F5*Inputs!F18</f>
        <v>0</v>
      </c>
      <c r="G23" s="2">
        <f>G5*Inputs!G18</f>
        <v>0</v>
      </c>
      <c r="H23" s="2">
        <f>SUM(C23:G23)</f>
        <v>0</v>
      </c>
      <c r="I23" s="3">
        <f>IFERROR(SUM(C23:G23)/SUM(C$23:G$27),0)</f>
        <v>0</v>
      </c>
    </row>
    <row r="24" spans="2:9" x14ac:dyDescent="0.2">
      <c r="B24" t="s">
        <v>22</v>
      </c>
      <c r="C24" s="2">
        <f>C6*Inputs!C19</f>
        <v>0</v>
      </c>
      <c r="D24" s="2">
        <f>D6*Inputs!D19</f>
        <v>0</v>
      </c>
      <c r="E24" s="2">
        <f>E6*Inputs!E19</f>
        <v>0</v>
      </c>
      <c r="F24" s="2">
        <f>F6*Inputs!F19</f>
        <v>0</v>
      </c>
      <c r="G24" s="2">
        <f>G6*Inputs!G19</f>
        <v>0</v>
      </c>
      <c r="H24" s="2">
        <f>SUM(C24:G24)</f>
        <v>0</v>
      </c>
      <c r="I24" s="3">
        <f>IFERROR(SUM(C24:G24)/SUM(C$23:G$27),0)</f>
        <v>0</v>
      </c>
    </row>
    <row r="25" spans="2:9" x14ac:dyDescent="0.2">
      <c r="B25" t="s">
        <v>23</v>
      </c>
      <c r="C25" s="2">
        <f>C7*Inputs!C20</f>
        <v>0</v>
      </c>
      <c r="D25" s="2">
        <f>D7*Inputs!D20</f>
        <v>0</v>
      </c>
      <c r="E25" s="2">
        <f>E7*Inputs!E20</f>
        <v>0</v>
      </c>
      <c r="F25" s="2">
        <f>F7*Inputs!F20</f>
        <v>0</v>
      </c>
      <c r="G25" s="2">
        <f>G7*Inputs!G20</f>
        <v>0</v>
      </c>
      <c r="H25" s="2">
        <f>SUM(C25:G25)</f>
        <v>0</v>
      </c>
      <c r="I25" s="3">
        <f>IFERROR(SUM(C25:G25)/SUM(C$23:G$27),0)</f>
        <v>0</v>
      </c>
    </row>
    <row r="26" spans="2:9" x14ac:dyDescent="0.2">
      <c r="B26" t="s">
        <v>24</v>
      </c>
      <c r="C26" s="2">
        <f>C8*Inputs!C21</f>
        <v>0</v>
      </c>
      <c r="D26" s="2">
        <f>D8*Inputs!D21</f>
        <v>0</v>
      </c>
      <c r="E26" s="2">
        <f>E8*Inputs!E21</f>
        <v>0</v>
      </c>
      <c r="F26" s="2">
        <f>F8*Inputs!F21</f>
        <v>0</v>
      </c>
      <c r="G26" s="2">
        <f>G8*Inputs!G21</f>
        <v>0</v>
      </c>
      <c r="H26" s="2">
        <f>SUM(C26:G26)</f>
        <v>0</v>
      </c>
      <c r="I26" s="3">
        <f>IFERROR(SUM(C26:G26)/SUM(C$23:G$27),0)</f>
        <v>0</v>
      </c>
    </row>
    <row r="27" spans="2:9" x14ac:dyDescent="0.2">
      <c r="B27" s="26" t="s">
        <v>25</v>
      </c>
      <c r="C27" s="34">
        <f>C9*Inputs!C22</f>
        <v>0</v>
      </c>
      <c r="D27" s="34">
        <f>D9*Inputs!D22</f>
        <v>0</v>
      </c>
      <c r="E27" s="34">
        <f>E9*Inputs!E22</f>
        <v>0</v>
      </c>
      <c r="F27" s="34">
        <f>F9*Inputs!F22</f>
        <v>0</v>
      </c>
      <c r="G27" s="34">
        <f>G9*Inputs!G22</f>
        <v>0</v>
      </c>
      <c r="H27" s="34">
        <f>SUM(C27:G27)</f>
        <v>0</v>
      </c>
      <c r="I27" s="3">
        <f>IFERROR(SUM(C27:G27)/SUM(C$23:G$27),0)</f>
        <v>0</v>
      </c>
    </row>
    <row r="28" spans="2:9" x14ac:dyDescent="0.2">
      <c r="B28" s="27" t="s">
        <v>46</v>
      </c>
      <c r="C28" s="35">
        <f t="shared" ref="C28:H28" si="4">SUM(C23:C27)</f>
        <v>0</v>
      </c>
      <c r="D28" s="35">
        <f t="shared" si="4"/>
        <v>0</v>
      </c>
      <c r="E28" s="35">
        <f t="shared" si="4"/>
        <v>0</v>
      </c>
      <c r="F28" s="35">
        <f t="shared" si="4"/>
        <v>0</v>
      </c>
      <c r="G28" s="35">
        <f t="shared" si="4"/>
        <v>0</v>
      </c>
      <c r="H28" s="35">
        <f t="shared" si="4"/>
        <v>0</v>
      </c>
    </row>
    <row r="29" spans="2:9" x14ac:dyDescent="0.2">
      <c r="B29" t="s">
        <v>43</v>
      </c>
      <c r="C29" s="3">
        <f>IFERROR(SUM(C23:C27)/SUM($C$23:$G$27),0)</f>
        <v>0</v>
      </c>
      <c r="D29" s="3">
        <f>IFERROR(SUM(D23:D27)/SUM($C$23:$G$27),0)</f>
        <v>0</v>
      </c>
      <c r="E29" s="3">
        <f>IFERROR(SUM(E23:E27)/SUM($C$23:$G$27),0)</f>
        <v>0</v>
      </c>
      <c r="F29" s="3">
        <f>IFERROR(SUM(F23:F27)/SUM($C$23:$G$27),0)</f>
        <v>0</v>
      </c>
      <c r="G29" s="3">
        <f>IFERROR(SUM(G23:G27)/SUM($C$23:$G$27),0)</f>
        <v>0</v>
      </c>
      <c r="H29" s="3"/>
    </row>
    <row r="30" spans="2:9" ht="8.5" customHeight="1" x14ac:dyDescent="0.2"/>
    <row r="31" spans="2:9" x14ac:dyDescent="0.2">
      <c r="B31" s="38" t="s">
        <v>36</v>
      </c>
      <c r="C31" s="37"/>
      <c r="D31" s="37"/>
      <c r="E31" s="37"/>
      <c r="F31" s="37"/>
      <c r="G31" s="37"/>
      <c r="H31" s="37"/>
    </row>
    <row r="32" spans="2:9" x14ac:dyDescent="0.2">
      <c r="B32" t="s">
        <v>21</v>
      </c>
      <c r="C32" s="2">
        <f>C5-C14-C23</f>
        <v>0</v>
      </c>
      <c r="D32" s="2">
        <f t="shared" ref="D32:H32" si="5">D5-D14-D23</f>
        <v>0</v>
      </c>
      <c r="E32" s="2">
        <f t="shared" si="5"/>
        <v>0</v>
      </c>
      <c r="F32" s="2">
        <f t="shared" si="5"/>
        <v>0</v>
      </c>
      <c r="G32" s="2">
        <f t="shared" si="5"/>
        <v>0</v>
      </c>
      <c r="H32" s="2">
        <f t="shared" si="5"/>
        <v>0</v>
      </c>
      <c r="I32" s="3">
        <f>IFERROR(SUM(C32:G32)/SUM(C$32:G$36),0)</f>
        <v>0</v>
      </c>
    </row>
    <row r="33" spans="2:9" x14ac:dyDescent="0.2">
      <c r="B33" t="s">
        <v>22</v>
      </c>
      <c r="C33" s="2">
        <f t="shared" ref="C33:C36" si="6">C6-C15-C24</f>
        <v>0</v>
      </c>
      <c r="D33" s="2">
        <f t="shared" ref="D33:H33" si="7">D6-D15-D24</f>
        <v>0</v>
      </c>
      <c r="E33" s="2">
        <f t="shared" si="7"/>
        <v>0</v>
      </c>
      <c r="F33" s="2">
        <f t="shared" si="7"/>
        <v>0</v>
      </c>
      <c r="G33" s="2">
        <f t="shared" si="7"/>
        <v>0</v>
      </c>
      <c r="H33" s="2">
        <f t="shared" si="7"/>
        <v>0</v>
      </c>
      <c r="I33" s="3">
        <f>IFERROR(SUM(C33:G33)/SUM(C$32:G$36),0)</f>
        <v>0</v>
      </c>
    </row>
    <row r="34" spans="2:9" x14ac:dyDescent="0.2">
      <c r="B34" t="s">
        <v>23</v>
      </c>
      <c r="C34" s="2">
        <f t="shared" si="6"/>
        <v>0</v>
      </c>
      <c r="D34" s="2">
        <f t="shared" ref="D34:H34" si="8">D7-D16-D25</f>
        <v>0</v>
      </c>
      <c r="E34" s="2">
        <f t="shared" si="8"/>
        <v>0</v>
      </c>
      <c r="F34" s="2">
        <f t="shared" si="8"/>
        <v>0</v>
      </c>
      <c r="G34" s="2">
        <f t="shared" si="8"/>
        <v>0</v>
      </c>
      <c r="H34" s="2">
        <f t="shared" si="8"/>
        <v>0</v>
      </c>
      <c r="I34" s="3">
        <f>IFERROR(SUM(C34:G34)/SUM(C$32:G$36),0)</f>
        <v>0</v>
      </c>
    </row>
    <row r="35" spans="2:9" x14ac:dyDescent="0.2">
      <c r="B35" t="s">
        <v>24</v>
      </c>
      <c r="C35" s="2">
        <f t="shared" si="6"/>
        <v>0</v>
      </c>
      <c r="D35" s="2">
        <f t="shared" ref="D35:H35" si="9">D8-D17-D26</f>
        <v>0</v>
      </c>
      <c r="E35" s="2">
        <f t="shared" si="9"/>
        <v>0</v>
      </c>
      <c r="F35" s="2">
        <f t="shared" si="9"/>
        <v>0</v>
      </c>
      <c r="G35" s="2">
        <f t="shared" si="9"/>
        <v>0</v>
      </c>
      <c r="H35" s="2">
        <f t="shared" si="9"/>
        <v>0</v>
      </c>
      <c r="I35" s="3">
        <f>IFERROR(SUM(C35:G35)/SUM(C$32:G$36),0)</f>
        <v>0</v>
      </c>
    </row>
    <row r="36" spans="2:9" x14ac:dyDescent="0.2">
      <c r="B36" s="26" t="s">
        <v>25</v>
      </c>
      <c r="C36" s="34">
        <f t="shared" si="6"/>
        <v>0</v>
      </c>
      <c r="D36" s="34">
        <f t="shared" ref="D36:H36" si="10">D9-D18-D27</f>
        <v>0</v>
      </c>
      <c r="E36" s="34">
        <f t="shared" si="10"/>
        <v>0</v>
      </c>
      <c r="F36" s="34">
        <f t="shared" si="10"/>
        <v>0</v>
      </c>
      <c r="G36" s="34">
        <f t="shared" si="10"/>
        <v>0</v>
      </c>
      <c r="H36" s="34">
        <f t="shared" si="10"/>
        <v>0</v>
      </c>
      <c r="I36" s="3">
        <f>IFERROR(SUM(C36:G36)/SUM(C$32:G$36),0)</f>
        <v>0</v>
      </c>
    </row>
    <row r="37" spans="2:9" x14ac:dyDescent="0.2">
      <c r="B37" s="27" t="s">
        <v>47</v>
      </c>
      <c r="C37" s="35">
        <f t="shared" ref="C37:H37" si="11">SUM(C32:C36)</f>
        <v>0</v>
      </c>
      <c r="D37" s="35">
        <f t="shared" si="11"/>
        <v>0</v>
      </c>
      <c r="E37" s="35">
        <f t="shared" si="11"/>
        <v>0</v>
      </c>
      <c r="F37" s="35">
        <f t="shared" si="11"/>
        <v>0</v>
      </c>
      <c r="G37" s="35">
        <f t="shared" si="11"/>
        <v>0</v>
      </c>
      <c r="H37" s="35">
        <f t="shared" si="11"/>
        <v>0</v>
      </c>
    </row>
    <row r="38" spans="2:9" x14ac:dyDescent="0.2">
      <c r="B38" t="s">
        <v>43</v>
      </c>
      <c r="C38" s="3">
        <f>IFERROR(SUM(C32:C36)/SUM($C$32:$G$36),0)</f>
        <v>0</v>
      </c>
      <c r="D38" s="3">
        <f>IFERROR(SUM(D32:D36)/SUM($C$32:$G$36),0)</f>
        <v>0</v>
      </c>
      <c r="E38" s="3">
        <f>IFERROR(SUM(E32:E36)/SUM($C$32:$G$36),0)</f>
        <v>0</v>
      </c>
      <c r="F38" s="3">
        <f>IFERROR(SUM(F32:F36)/SUM($C$32:$G$36),0)</f>
        <v>0</v>
      </c>
      <c r="G38" s="3">
        <f>IFERROR(SUM(G32:G36)/SUM($C$32:$G$36),0)</f>
        <v>0</v>
      </c>
      <c r="H38" s="3"/>
    </row>
    <row r="40" spans="2:9" x14ac:dyDescent="0.2">
      <c r="B40" s="27" t="s">
        <v>48</v>
      </c>
      <c r="C40" s="59"/>
      <c r="D40" s="59"/>
      <c r="E40" s="59"/>
      <c r="F40" s="59"/>
      <c r="G40" s="59"/>
      <c r="H40" s="59">
        <f>IFERROR(H37/H10,0)</f>
        <v>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C2C7D-0A81-4ACB-816A-FF6F7141C259}">
  <sheetPr>
    <tabColor theme="7" tint="0.79998168889431442"/>
  </sheetPr>
  <dimension ref="B1:I40"/>
  <sheetViews>
    <sheetView showGridLines="0" zoomScale="150" zoomScaleNormal="85" workbookViewId="0">
      <pane xSplit="2" ySplit="2" topLeftCell="C19" activePane="bottomRight" state="frozen"/>
      <selection pane="topRight" activeCell="N21" sqref="N21"/>
      <selection pane="bottomLeft" activeCell="N21" sqref="N21"/>
      <selection pane="bottomRight" activeCell="H40" sqref="H40"/>
    </sheetView>
  </sheetViews>
  <sheetFormatPr baseColWidth="10" defaultColWidth="8.83203125" defaultRowHeight="15" x14ac:dyDescent="0.2"/>
  <cols>
    <col min="2" max="2" width="16" bestFit="1" customWidth="1"/>
    <col min="3" max="9" width="12.6640625" customWidth="1"/>
  </cols>
  <sheetData>
    <row r="1" spans="2:9" ht="8.5" customHeight="1" x14ac:dyDescent="0.2"/>
    <row r="2" spans="2:9" x14ac:dyDescent="0.2">
      <c r="B2" s="9" t="s">
        <v>49</v>
      </c>
      <c r="C2" s="10" t="s">
        <v>7</v>
      </c>
      <c r="D2" s="10" t="s">
        <v>8</v>
      </c>
      <c r="E2" s="10" t="s">
        <v>9</v>
      </c>
      <c r="F2" s="10" t="s">
        <v>10</v>
      </c>
      <c r="G2" s="10" t="s">
        <v>11</v>
      </c>
      <c r="H2" s="10" t="s">
        <v>40</v>
      </c>
      <c r="I2" s="10" t="s">
        <v>41</v>
      </c>
    </row>
    <row r="3" spans="2:9" ht="5.5" customHeight="1" x14ac:dyDescent="0.2">
      <c r="B3" s="36"/>
      <c r="C3" s="37"/>
      <c r="D3" s="37"/>
      <c r="E3" s="37"/>
      <c r="F3" s="37"/>
      <c r="G3" s="37"/>
      <c r="H3" s="37"/>
    </row>
    <row r="4" spans="2:9" x14ac:dyDescent="0.2">
      <c r="B4" s="38" t="s">
        <v>34</v>
      </c>
      <c r="C4" s="37"/>
      <c r="D4" s="37"/>
      <c r="E4" s="37"/>
      <c r="F4" s="37"/>
      <c r="G4" s="37"/>
      <c r="H4" s="37"/>
    </row>
    <row r="5" spans="2:9" x14ac:dyDescent="0.2">
      <c r="B5" t="s">
        <v>21</v>
      </c>
      <c r="C5" s="2">
        <f>Inputs!C$3*Inputs!C$6*Inputs!C10*52/12</f>
        <v>0</v>
      </c>
      <c r="D5" s="2">
        <f>Inputs!D$3*Inputs!D$6*Inputs!D10*52/12</f>
        <v>0</v>
      </c>
      <c r="E5" s="2">
        <f>Inputs!E$3*Inputs!E$6*Inputs!E10*52/12</f>
        <v>0</v>
      </c>
      <c r="F5" s="2">
        <f>Inputs!F$3*Inputs!F$6*Inputs!F10*52/12</f>
        <v>0</v>
      </c>
      <c r="G5" s="2">
        <f>Inputs!G$3*Inputs!G$6*Inputs!G10*52/12</f>
        <v>0</v>
      </c>
      <c r="H5" s="2">
        <f>SUM(C5:G5)</f>
        <v>0</v>
      </c>
      <c r="I5" s="3">
        <f>IFERROR(SUM(C5:G5)/SUM(C$5:G$9),0)</f>
        <v>0</v>
      </c>
    </row>
    <row r="6" spans="2:9" x14ac:dyDescent="0.2">
      <c r="B6" t="s">
        <v>22</v>
      </c>
      <c r="C6" s="2">
        <f>Inputs!C$3*Inputs!C$6*Inputs!C11*52/12</f>
        <v>0</v>
      </c>
      <c r="D6" s="2">
        <f>Inputs!D$3*Inputs!D$6*Inputs!D11*52/12</f>
        <v>0</v>
      </c>
      <c r="E6" s="2">
        <f>Inputs!E$3*Inputs!E$6*Inputs!E11*52/12</f>
        <v>0</v>
      </c>
      <c r="F6" s="2">
        <f>Inputs!F$3*Inputs!F$6*Inputs!F11*52/12</f>
        <v>0</v>
      </c>
      <c r="G6" s="2">
        <f>Inputs!G$3*Inputs!G$6*Inputs!G11*52/12</f>
        <v>0</v>
      </c>
      <c r="H6" s="2">
        <f>SUM(C6:G6)</f>
        <v>0</v>
      </c>
      <c r="I6" s="3">
        <f>IFERROR(SUM(C6:G6)/SUM(C$5:G$9),0)</f>
        <v>0</v>
      </c>
    </row>
    <row r="7" spans="2:9" x14ac:dyDescent="0.2">
      <c r="B7" t="s">
        <v>23</v>
      </c>
      <c r="C7" s="2">
        <f>Inputs!C$3*Inputs!C$6*Inputs!C12*52/12</f>
        <v>0</v>
      </c>
      <c r="D7" s="2">
        <f>Inputs!D$3*Inputs!D$6*Inputs!D12*52/12</f>
        <v>0</v>
      </c>
      <c r="E7" s="2">
        <f>Inputs!E$3*Inputs!E$6*Inputs!E12*52/12</f>
        <v>0</v>
      </c>
      <c r="F7" s="2">
        <f>Inputs!F$3*Inputs!F$6*Inputs!F12*52/12</f>
        <v>0</v>
      </c>
      <c r="G7" s="2">
        <f>Inputs!G$3*Inputs!G$6*Inputs!G12*52/12</f>
        <v>0</v>
      </c>
      <c r="H7" s="2">
        <f>SUM(C7:G7)</f>
        <v>0</v>
      </c>
      <c r="I7" s="3">
        <f>IFERROR(SUM(C7:G7)/SUM(C$5:G$9),0)</f>
        <v>0</v>
      </c>
    </row>
    <row r="8" spans="2:9" x14ac:dyDescent="0.2">
      <c r="B8" t="s">
        <v>24</v>
      </c>
      <c r="C8" s="2">
        <f>Inputs!C$3*Inputs!C$6*Inputs!C13*52/12</f>
        <v>0</v>
      </c>
      <c r="D8" s="2">
        <f>Inputs!D$3*Inputs!D$6*Inputs!D13*52/12</f>
        <v>0</v>
      </c>
      <c r="E8" s="2">
        <f>Inputs!E$3*Inputs!E$6*Inputs!E13*52/12</f>
        <v>0</v>
      </c>
      <c r="F8" s="2">
        <f>Inputs!F$3*Inputs!F$6*Inputs!F13*52/12</f>
        <v>0</v>
      </c>
      <c r="G8" s="2">
        <f>Inputs!G$3*Inputs!G$6*Inputs!G13*52/12</f>
        <v>0</v>
      </c>
      <c r="H8" s="2">
        <f>SUM(C8:G8)</f>
        <v>0</v>
      </c>
      <c r="I8" s="3">
        <f>IFERROR(SUM(C8:G8)/SUM(C$5:G$9),0)</f>
        <v>0</v>
      </c>
    </row>
    <row r="9" spans="2:9" x14ac:dyDescent="0.2">
      <c r="B9" s="26" t="s">
        <v>25</v>
      </c>
      <c r="C9" s="34">
        <f>Inputs!C$3*Inputs!C$6*Inputs!C14*52/12</f>
        <v>0</v>
      </c>
      <c r="D9" s="34">
        <f>Inputs!D$3*Inputs!D$6*Inputs!D14*52/12</f>
        <v>0</v>
      </c>
      <c r="E9" s="34">
        <f>Inputs!E$3*Inputs!E$6*Inputs!E14*52/12</f>
        <v>0</v>
      </c>
      <c r="F9" s="34">
        <f>Inputs!F$3*Inputs!F$6*Inputs!F14*52/12</f>
        <v>0</v>
      </c>
      <c r="G9" s="34">
        <f>Inputs!G$3*Inputs!G$6*Inputs!G14*52/12</f>
        <v>0</v>
      </c>
      <c r="H9" s="34">
        <f>SUM(C9:G9)</f>
        <v>0</v>
      </c>
      <c r="I9" s="3">
        <f>IFERROR(SUM(C9:G9)/SUM(C$5:G$9),0)</f>
        <v>0</v>
      </c>
    </row>
    <row r="10" spans="2:9" x14ac:dyDescent="0.2">
      <c r="B10" s="27" t="s">
        <v>42</v>
      </c>
      <c r="C10" s="35">
        <f t="shared" ref="C10:H10" si="0">SUM(C5:C9)</f>
        <v>0</v>
      </c>
      <c r="D10" s="35">
        <f t="shared" si="0"/>
        <v>0</v>
      </c>
      <c r="E10" s="35">
        <f t="shared" si="0"/>
        <v>0</v>
      </c>
      <c r="F10" s="35">
        <f t="shared" si="0"/>
        <v>0</v>
      </c>
      <c r="G10" s="35">
        <f t="shared" si="0"/>
        <v>0</v>
      </c>
      <c r="H10" s="35">
        <f t="shared" si="0"/>
        <v>0</v>
      </c>
    </row>
    <row r="11" spans="2:9" x14ac:dyDescent="0.2">
      <c r="B11" t="s">
        <v>43</v>
      </c>
      <c r="C11" s="3">
        <f>IFERROR(SUM(C5:C9)/SUM($C$5:$G$9),0)</f>
        <v>0</v>
      </c>
      <c r="D11" s="3">
        <f>IFERROR(SUM(D5:D9)/SUM($C$5:$G$9),0)</f>
        <v>0</v>
      </c>
      <c r="E11" s="3">
        <f>IFERROR(SUM(E5:E9)/SUM($C$5:$G$9),0)</f>
        <v>0</v>
      </c>
      <c r="F11" s="3">
        <f>IFERROR(SUM(F5:F9)/SUM($C$5:$G$9),0)</f>
        <v>0</v>
      </c>
      <c r="G11" s="3">
        <f>IFERROR(SUM(G5:G9)/SUM($C$5:$G$9),0)</f>
        <v>0</v>
      </c>
      <c r="H11" s="3"/>
    </row>
    <row r="12" spans="2:9" ht="8.5" customHeight="1" x14ac:dyDescent="0.2"/>
    <row r="13" spans="2:9" x14ac:dyDescent="0.2">
      <c r="B13" s="38" t="s">
        <v>44</v>
      </c>
      <c r="C13" s="66"/>
      <c r="D13" s="66"/>
      <c r="E13" s="66"/>
      <c r="F13" s="66"/>
      <c r="G13" s="66"/>
      <c r="H13" s="37"/>
    </row>
    <row r="14" spans="2:9" x14ac:dyDescent="0.2">
      <c r="B14" t="s">
        <v>21</v>
      </c>
      <c r="C14" s="67"/>
      <c r="D14" s="67"/>
      <c r="E14" s="67"/>
      <c r="F14" s="67"/>
      <c r="G14" s="67"/>
      <c r="H14" s="2">
        <f>Inputs!C25*Inputs!D25*52/12</f>
        <v>0</v>
      </c>
      <c r="I14" s="3">
        <f>IFERROR(SUM(D14:H14)/SUM(D$14:H$18),0)</f>
        <v>0</v>
      </c>
    </row>
    <row r="15" spans="2:9" x14ac:dyDescent="0.2">
      <c r="B15" t="s">
        <v>22</v>
      </c>
      <c r="C15" s="67"/>
      <c r="D15" s="67"/>
      <c r="E15" s="67"/>
      <c r="F15" s="67"/>
      <c r="G15" s="67"/>
      <c r="H15" s="2">
        <f>Inputs!C26*Inputs!D26*52/12</f>
        <v>0</v>
      </c>
      <c r="I15" s="3">
        <f t="shared" ref="I15:I18" si="1">IFERROR(SUM(D15:H15)/SUM(D$14:H$18),0)</f>
        <v>0</v>
      </c>
    </row>
    <row r="16" spans="2:9" x14ac:dyDescent="0.2">
      <c r="B16" t="s">
        <v>23</v>
      </c>
      <c r="C16" s="67"/>
      <c r="D16" s="67"/>
      <c r="E16" s="67"/>
      <c r="F16" s="67"/>
      <c r="G16" s="67"/>
      <c r="H16" s="2">
        <f>Inputs!C27*Inputs!D27*52/12</f>
        <v>0</v>
      </c>
      <c r="I16" s="3">
        <f t="shared" si="1"/>
        <v>0</v>
      </c>
    </row>
    <row r="17" spans="2:9" x14ac:dyDescent="0.2">
      <c r="B17" t="s">
        <v>24</v>
      </c>
      <c r="C17" s="67"/>
      <c r="D17" s="67"/>
      <c r="E17" s="67"/>
      <c r="F17" s="67"/>
      <c r="G17" s="67"/>
      <c r="H17" s="2">
        <f>Inputs!C28*Inputs!D28*52/12</f>
        <v>0</v>
      </c>
      <c r="I17" s="3">
        <f t="shared" si="1"/>
        <v>0</v>
      </c>
    </row>
    <row r="18" spans="2:9" x14ac:dyDescent="0.2">
      <c r="B18" s="26" t="s">
        <v>25</v>
      </c>
      <c r="C18" s="68"/>
      <c r="D18" s="68"/>
      <c r="E18" s="68"/>
      <c r="F18" s="68"/>
      <c r="G18" s="68"/>
      <c r="H18" s="34">
        <f>Inputs!C29*Inputs!D29*52/12</f>
        <v>0</v>
      </c>
      <c r="I18" s="3">
        <f t="shared" si="1"/>
        <v>0</v>
      </c>
    </row>
    <row r="19" spans="2:9" x14ac:dyDescent="0.2">
      <c r="B19" s="27" t="s">
        <v>45</v>
      </c>
      <c r="C19" s="35"/>
      <c r="D19" s="35"/>
      <c r="E19" s="35"/>
      <c r="F19" s="35"/>
      <c r="G19" s="35"/>
      <c r="H19" s="35">
        <f t="shared" ref="H19" si="2">SUM(H14:H18)</f>
        <v>0</v>
      </c>
    </row>
    <row r="20" spans="2:9" x14ac:dyDescent="0.2">
      <c r="B20" t="s">
        <v>43</v>
      </c>
      <c r="C20" s="3"/>
      <c r="D20" s="3"/>
      <c r="E20" s="3"/>
      <c r="F20" s="3"/>
      <c r="G20" s="3"/>
      <c r="H20" s="3"/>
    </row>
    <row r="21" spans="2:9" ht="8.5" customHeight="1" x14ac:dyDescent="0.2"/>
    <row r="22" spans="2:9" x14ac:dyDescent="0.2">
      <c r="B22" s="38" t="s">
        <v>35</v>
      </c>
      <c r="C22" s="37"/>
      <c r="D22" s="37"/>
      <c r="E22" s="37"/>
      <c r="F22" s="37"/>
      <c r="G22" s="37"/>
      <c r="H22" s="37"/>
    </row>
    <row r="23" spans="2:9" x14ac:dyDescent="0.2">
      <c r="B23" t="s">
        <v>21</v>
      </c>
      <c r="C23" s="2">
        <f>C5*Inputs!C18</f>
        <v>0</v>
      </c>
      <c r="D23" s="2">
        <f>D5*Inputs!D18</f>
        <v>0</v>
      </c>
      <c r="E23" s="2">
        <f>E5*Inputs!E18</f>
        <v>0</v>
      </c>
      <c r="F23" s="2">
        <f>F5*Inputs!F18</f>
        <v>0</v>
      </c>
      <c r="G23" s="2">
        <f>G5*Inputs!G18</f>
        <v>0</v>
      </c>
      <c r="H23" s="2">
        <f>SUM(C23:G23)</f>
        <v>0</v>
      </c>
      <c r="I23" s="3">
        <f>IFERROR(SUM(C23:G23)/SUM(C$23:G$27),0)</f>
        <v>0</v>
      </c>
    </row>
    <row r="24" spans="2:9" x14ac:dyDescent="0.2">
      <c r="B24" t="s">
        <v>22</v>
      </c>
      <c r="C24" s="2">
        <f>C6*Inputs!C19</f>
        <v>0</v>
      </c>
      <c r="D24" s="2">
        <f>D6*Inputs!D19</f>
        <v>0</v>
      </c>
      <c r="E24" s="2">
        <f>E6*Inputs!E19</f>
        <v>0</v>
      </c>
      <c r="F24" s="2">
        <f>F6*Inputs!F19</f>
        <v>0</v>
      </c>
      <c r="G24" s="2">
        <f>G6*Inputs!G19</f>
        <v>0</v>
      </c>
      <c r="H24" s="2">
        <f>SUM(C24:G24)</f>
        <v>0</v>
      </c>
      <c r="I24" s="3">
        <f>IFERROR(SUM(C24:G24)/SUM(C$23:G$27),0)</f>
        <v>0</v>
      </c>
    </row>
    <row r="25" spans="2:9" x14ac:dyDescent="0.2">
      <c r="B25" t="s">
        <v>23</v>
      </c>
      <c r="C25" s="2">
        <f>C7*Inputs!C20</f>
        <v>0</v>
      </c>
      <c r="D25" s="2">
        <f>D7*Inputs!D20</f>
        <v>0</v>
      </c>
      <c r="E25" s="2">
        <f>E7*Inputs!E20</f>
        <v>0</v>
      </c>
      <c r="F25" s="2">
        <f>F7*Inputs!F20</f>
        <v>0</v>
      </c>
      <c r="G25" s="2">
        <f>G7*Inputs!G20</f>
        <v>0</v>
      </c>
      <c r="H25" s="2">
        <f>SUM(C25:G25)</f>
        <v>0</v>
      </c>
      <c r="I25" s="3">
        <f>IFERROR(SUM(C25:G25)/SUM(C$23:G$27),0)</f>
        <v>0</v>
      </c>
    </row>
    <row r="26" spans="2:9" x14ac:dyDescent="0.2">
      <c r="B26" t="s">
        <v>24</v>
      </c>
      <c r="C26" s="2">
        <f>C8*Inputs!C21</f>
        <v>0</v>
      </c>
      <c r="D26" s="2">
        <f>D8*Inputs!D21</f>
        <v>0</v>
      </c>
      <c r="E26" s="2">
        <f>E8*Inputs!E21</f>
        <v>0</v>
      </c>
      <c r="F26" s="2">
        <f>F8*Inputs!F21</f>
        <v>0</v>
      </c>
      <c r="G26" s="2">
        <f>G8*Inputs!G21</f>
        <v>0</v>
      </c>
      <c r="H26" s="2">
        <f>SUM(C26:G26)</f>
        <v>0</v>
      </c>
      <c r="I26" s="3">
        <f>IFERROR(SUM(C26:G26)/SUM(C$23:G$27),0)</f>
        <v>0</v>
      </c>
    </row>
    <row r="27" spans="2:9" x14ac:dyDescent="0.2">
      <c r="B27" s="26" t="s">
        <v>25</v>
      </c>
      <c r="C27" s="34">
        <f>C9*Inputs!C22</f>
        <v>0</v>
      </c>
      <c r="D27" s="34">
        <f>D9*Inputs!D22</f>
        <v>0</v>
      </c>
      <c r="E27" s="34">
        <f>E9*Inputs!E22</f>
        <v>0</v>
      </c>
      <c r="F27" s="34">
        <f>F9*Inputs!F22</f>
        <v>0</v>
      </c>
      <c r="G27" s="34">
        <f>G9*Inputs!G22</f>
        <v>0</v>
      </c>
      <c r="H27" s="34">
        <f>SUM(C27:G27)</f>
        <v>0</v>
      </c>
      <c r="I27" s="3">
        <f>IFERROR(SUM(C27:G27)/SUM(C$23:G$27),0)</f>
        <v>0</v>
      </c>
    </row>
    <row r="28" spans="2:9" x14ac:dyDescent="0.2">
      <c r="B28" s="27" t="s">
        <v>46</v>
      </c>
      <c r="C28" s="35">
        <f t="shared" ref="C28:H28" si="3">SUM(C23:C27)</f>
        <v>0</v>
      </c>
      <c r="D28" s="35">
        <f t="shared" si="3"/>
        <v>0</v>
      </c>
      <c r="E28" s="35">
        <f t="shared" si="3"/>
        <v>0</v>
      </c>
      <c r="F28" s="35">
        <f t="shared" si="3"/>
        <v>0</v>
      </c>
      <c r="G28" s="35">
        <f t="shared" si="3"/>
        <v>0</v>
      </c>
      <c r="H28" s="35">
        <f t="shared" si="3"/>
        <v>0</v>
      </c>
    </row>
    <row r="29" spans="2:9" x14ac:dyDescent="0.2">
      <c r="B29" t="s">
        <v>43</v>
      </c>
      <c r="C29" s="3">
        <f>IFERROR(SUM(C23:C27)/SUM($C$23:$G$27),0)</f>
        <v>0</v>
      </c>
      <c r="D29" s="3">
        <f>IFERROR(SUM(D23:D27)/SUM($C$23:$G$27),0)</f>
        <v>0</v>
      </c>
      <c r="E29" s="3">
        <f>IFERROR(SUM(E23:E27)/SUM($C$23:$G$27),0)</f>
        <v>0</v>
      </c>
      <c r="F29" s="3">
        <f>IFERROR(SUM(F23:F27)/SUM($C$23:$G$27),0)</f>
        <v>0</v>
      </c>
      <c r="G29" s="3">
        <f>IFERROR(SUM(G23:G27)/SUM($C$23:$G$27),0)</f>
        <v>0</v>
      </c>
      <c r="H29" s="3"/>
    </row>
    <row r="30" spans="2:9" ht="8.5" customHeight="1" x14ac:dyDescent="0.2"/>
    <row r="31" spans="2:9" x14ac:dyDescent="0.2">
      <c r="B31" s="38" t="s">
        <v>36</v>
      </c>
      <c r="C31" s="37"/>
      <c r="D31" s="37"/>
      <c r="E31" s="37"/>
      <c r="F31" s="37"/>
      <c r="G31" s="37"/>
      <c r="H31" s="37"/>
    </row>
    <row r="32" spans="2:9" x14ac:dyDescent="0.2">
      <c r="B32" t="s">
        <v>21</v>
      </c>
      <c r="C32" s="2">
        <f>C5-C14-C23</f>
        <v>0</v>
      </c>
      <c r="D32" s="2">
        <f t="shared" ref="D32:H36" si="4">D5-D14-D23</f>
        <v>0</v>
      </c>
      <c r="E32" s="2">
        <f t="shared" si="4"/>
        <v>0</v>
      </c>
      <c r="F32" s="2">
        <f t="shared" si="4"/>
        <v>0</v>
      </c>
      <c r="G32" s="2">
        <f t="shared" si="4"/>
        <v>0</v>
      </c>
      <c r="H32" s="2">
        <f t="shared" si="4"/>
        <v>0</v>
      </c>
      <c r="I32" s="3">
        <f>IFERROR(SUM(C32:G32)/SUM(C$32:G$36),0)</f>
        <v>0</v>
      </c>
    </row>
    <row r="33" spans="2:9" x14ac:dyDescent="0.2">
      <c r="B33" t="s">
        <v>22</v>
      </c>
      <c r="C33" s="2">
        <f t="shared" ref="C33:C36" si="5">C6-C15-C24</f>
        <v>0</v>
      </c>
      <c r="D33" s="2">
        <f t="shared" si="4"/>
        <v>0</v>
      </c>
      <c r="E33" s="2">
        <f t="shared" si="4"/>
        <v>0</v>
      </c>
      <c r="F33" s="2">
        <f t="shared" si="4"/>
        <v>0</v>
      </c>
      <c r="G33" s="2">
        <f t="shared" si="4"/>
        <v>0</v>
      </c>
      <c r="H33" s="2">
        <f t="shared" si="4"/>
        <v>0</v>
      </c>
      <c r="I33" s="3">
        <f>IFERROR(SUM(C33:G33)/SUM(C$32:G$36),0)</f>
        <v>0</v>
      </c>
    </row>
    <row r="34" spans="2:9" x14ac:dyDescent="0.2">
      <c r="B34" t="s">
        <v>23</v>
      </c>
      <c r="C34" s="2">
        <f t="shared" si="5"/>
        <v>0</v>
      </c>
      <c r="D34" s="2">
        <f t="shared" si="4"/>
        <v>0</v>
      </c>
      <c r="E34" s="2">
        <f t="shared" si="4"/>
        <v>0</v>
      </c>
      <c r="F34" s="2">
        <f t="shared" si="4"/>
        <v>0</v>
      </c>
      <c r="G34" s="2">
        <f t="shared" si="4"/>
        <v>0</v>
      </c>
      <c r="H34" s="2">
        <f t="shared" si="4"/>
        <v>0</v>
      </c>
      <c r="I34" s="3">
        <f>IFERROR(SUM(C34:G34)/SUM(C$32:G$36),0)</f>
        <v>0</v>
      </c>
    </row>
    <row r="35" spans="2:9" x14ac:dyDescent="0.2">
      <c r="B35" t="s">
        <v>24</v>
      </c>
      <c r="C35" s="2">
        <f t="shared" si="5"/>
        <v>0</v>
      </c>
      <c r="D35" s="2">
        <f t="shared" si="4"/>
        <v>0</v>
      </c>
      <c r="E35" s="2">
        <f t="shared" si="4"/>
        <v>0</v>
      </c>
      <c r="F35" s="2">
        <f t="shared" si="4"/>
        <v>0</v>
      </c>
      <c r="G35" s="2">
        <f t="shared" si="4"/>
        <v>0</v>
      </c>
      <c r="H35" s="2">
        <f t="shared" si="4"/>
        <v>0</v>
      </c>
      <c r="I35" s="3">
        <f>IFERROR(SUM(C35:G35)/SUM(C$32:G$36),0)</f>
        <v>0</v>
      </c>
    </row>
    <row r="36" spans="2:9" x14ac:dyDescent="0.2">
      <c r="B36" s="26" t="s">
        <v>25</v>
      </c>
      <c r="C36" s="34">
        <f t="shared" si="5"/>
        <v>0</v>
      </c>
      <c r="D36" s="34">
        <f t="shared" si="4"/>
        <v>0</v>
      </c>
      <c r="E36" s="34">
        <f t="shared" si="4"/>
        <v>0</v>
      </c>
      <c r="F36" s="34">
        <f t="shared" si="4"/>
        <v>0</v>
      </c>
      <c r="G36" s="34">
        <f t="shared" si="4"/>
        <v>0</v>
      </c>
      <c r="H36" s="34">
        <f t="shared" si="4"/>
        <v>0</v>
      </c>
      <c r="I36" s="3">
        <f>IFERROR(SUM(C36:G36)/SUM(C$32:G$36),0)</f>
        <v>0</v>
      </c>
    </row>
    <row r="37" spans="2:9" x14ac:dyDescent="0.2">
      <c r="B37" s="27" t="s">
        <v>47</v>
      </c>
      <c r="C37" s="35">
        <f t="shared" ref="C37:H37" si="6">SUM(C32:C36)</f>
        <v>0</v>
      </c>
      <c r="D37" s="35">
        <f t="shared" si="6"/>
        <v>0</v>
      </c>
      <c r="E37" s="35">
        <f t="shared" si="6"/>
        <v>0</v>
      </c>
      <c r="F37" s="35">
        <f t="shared" si="6"/>
        <v>0</v>
      </c>
      <c r="G37" s="35">
        <f t="shared" si="6"/>
        <v>0</v>
      </c>
      <c r="H37" s="35">
        <f t="shared" si="6"/>
        <v>0</v>
      </c>
    </row>
    <row r="38" spans="2:9" x14ac:dyDescent="0.2">
      <c r="B38" t="s">
        <v>43</v>
      </c>
      <c r="C38" s="3">
        <f>IFERROR(SUM(C32:C36)/SUM($C$32:$G$36),0)</f>
        <v>0</v>
      </c>
      <c r="D38" s="3">
        <f>IFERROR(SUM(D32:D36)/SUM($C$32:$G$36),0)</f>
        <v>0</v>
      </c>
      <c r="E38" s="3">
        <f>IFERROR(SUM(E32:E36)/SUM($C$32:$G$36),0)</f>
        <v>0</v>
      </c>
      <c r="F38" s="3">
        <f>IFERROR(SUM(F32:F36)/SUM($C$32:$G$36),0)</f>
        <v>0</v>
      </c>
      <c r="G38" s="3">
        <f>IFERROR(SUM(G32:G36)/SUM($C$32:$G$36),0)</f>
        <v>0</v>
      </c>
      <c r="H38" s="3"/>
    </row>
    <row r="40" spans="2:9" x14ac:dyDescent="0.2">
      <c r="B40" s="58" t="s">
        <v>48</v>
      </c>
      <c r="C40" s="60"/>
      <c r="D40" s="60"/>
      <c r="E40" s="60"/>
      <c r="F40" s="60"/>
      <c r="G40" s="60"/>
      <c r="H40" s="60">
        <f>IFERROR(H37/H10,0)</f>
        <v>0</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7808-0EF3-4286-ABBF-ECC9E2DF3FB9}">
  <sheetPr>
    <tabColor theme="7" tint="0.79998168889431442"/>
  </sheetPr>
  <dimension ref="B1:I40"/>
  <sheetViews>
    <sheetView showGridLines="0" zoomScale="125" zoomScaleNormal="85" workbookViewId="0">
      <pane xSplit="2" ySplit="2" topLeftCell="C24" activePane="bottomRight" state="frozen"/>
      <selection pane="topRight" activeCell="N21" sqref="N21"/>
      <selection pane="bottomLeft" activeCell="N21" sqref="N21"/>
      <selection pane="bottomRight" activeCell="H40" sqref="H40"/>
    </sheetView>
  </sheetViews>
  <sheetFormatPr baseColWidth="10" defaultColWidth="8.83203125" defaultRowHeight="15" x14ac:dyDescent="0.2"/>
  <cols>
    <col min="2" max="2" width="16" bestFit="1" customWidth="1"/>
    <col min="3" max="9" width="12.6640625" customWidth="1"/>
  </cols>
  <sheetData>
    <row r="1" spans="2:9" ht="8.5" customHeight="1" x14ac:dyDescent="0.2"/>
    <row r="2" spans="2:9" x14ac:dyDescent="0.2">
      <c r="B2" s="9" t="s">
        <v>50</v>
      </c>
      <c r="C2" s="10" t="s">
        <v>7</v>
      </c>
      <c r="D2" s="10" t="s">
        <v>8</v>
      </c>
      <c r="E2" s="10" t="s">
        <v>9</v>
      </c>
      <c r="F2" s="10" t="s">
        <v>10</v>
      </c>
      <c r="G2" s="10" t="s">
        <v>11</v>
      </c>
      <c r="H2" s="10" t="s">
        <v>40</v>
      </c>
      <c r="I2" s="10" t="s">
        <v>41</v>
      </c>
    </row>
    <row r="3" spans="2:9" ht="5.5" customHeight="1" x14ac:dyDescent="0.2">
      <c r="B3" s="36"/>
      <c r="C3" s="37"/>
      <c r="D3" s="37"/>
      <c r="E3" s="37"/>
      <c r="F3" s="37"/>
      <c r="G3" s="37"/>
      <c r="H3" s="37"/>
    </row>
    <row r="4" spans="2:9" x14ac:dyDescent="0.2">
      <c r="B4" s="38" t="s">
        <v>34</v>
      </c>
      <c r="C4" s="37"/>
      <c r="D4" s="37"/>
      <c r="E4" s="37"/>
      <c r="F4" s="37"/>
      <c r="G4" s="37"/>
      <c r="H4" s="37"/>
    </row>
    <row r="5" spans="2:9" x14ac:dyDescent="0.2">
      <c r="B5" t="s">
        <v>21</v>
      </c>
      <c r="C5" s="2">
        <f>Inputs!C$3*Inputs!C$6*Inputs!C10*52</f>
        <v>0</v>
      </c>
      <c r="D5" s="2">
        <f>Inputs!D$3*Inputs!D$6*Inputs!D10*52</f>
        <v>0</v>
      </c>
      <c r="E5" s="2">
        <f>Inputs!E$3*Inputs!E$6*Inputs!E10*52</f>
        <v>0</v>
      </c>
      <c r="F5" s="2">
        <f>Inputs!F$3*Inputs!F$6*Inputs!F10*52</f>
        <v>0</v>
      </c>
      <c r="G5" s="2">
        <f>Inputs!G$3*Inputs!G$6*Inputs!G10*52</f>
        <v>0</v>
      </c>
      <c r="H5" s="2">
        <f>SUM(C5:G5)</f>
        <v>0</v>
      </c>
      <c r="I5" s="3">
        <f>IFERROR(SUM(C5:G5)/SUM(C$5:G$9),0)</f>
        <v>0</v>
      </c>
    </row>
    <row r="6" spans="2:9" x14ac:dyDescent="0.2">
      <c r="B6" t="s">
        <v>22</v>
      </c>
      <c r="C6" s="2">
        <f>Inputs!C$3*Inputs!C$6*Inputs!C11*52</f>
        <v>0</v>
      </c>
      <c r="D6" s="2">
        <f>Inputs!D$3*Inputs!D$6*Inputs!D11*52</f>
        <v>0</v>
      </c>
      <c r="E6" s="2">
        <f>Inputs!E$3*Inputs!E$6*Inputs!E11*52</f>
        <v>0</v>
      </c>
      <c r="F6" s="2">
        <f>Inputs!F$3*Inputs!F$6*Inputs!F11*52</f>
        <v>0</v>
      </c>
      <c r="G6" s="2">
        <f>Inputs!G$3*Inputs!G$6*Inputs!G11*52</f>
        <v>0</v>
      </c>
      <c r="H6" s="2">
        <f>SUM(C6:G6)</f>
        <v>0</v>
      </c>
      <c r="I6" s="3">
        <f>IFERROR(SUM(C6:G6)/SUM(C$5:G$9),0)</f>
        <v>0</v>
      </c>
    </row>
    <row r="7" spans="2:9" x14ac:dyDescent="0.2">
      <c r="B7" t="s">
        <v>23</v>
      </c>
      <c r="C7" s="2">
        <f>Inputs!C$3*Inputs!C$6*Inputs!C12*52</f>
        <v>0</v>
      </c>
      <c r="D7" s="2">
        <f>Inputs!D$3*Inputs!D$6*Inputs!D12*52</f>
        <v>0</v>
      </c>
      <c r="E7" s="2">
        <f>Inputs!E$3*Inputs!E$6*Inputs!E12*52</f>
        <v>0</v>
      </c>
      <c r="F7" s="2">
        <f>Inputs!F$3*Inputs!F$6*Inputs!F12*52</f>
        <v>0</v>
      </c>
      <c r="G7" s="2">
        <f>Inputs!G$3*Inputs!G$6*Inputs!G12*52</f>
        <v>0</v>
      </c>
      <c r="H7" s="2">
        <f>SUM(C7:G7)</f>
        <v>0</v>
      </c>
      <c r="I7" s="3">
        <f>IFERROR(SUM(C7:G7)/SUM(C$5:G$9),0)</f>
        <v>0</v>
      </c>
    </row>
    <row r="8" spans="2:9" x14ac:dyDescent="0.2">
      <c r="B8" t="s">
        <v>24</v>
      </c>
      <c r="C8" s="2">
        <f>Inputs!C$3*Inputs!C$6*Inputs!C13*52</f>
        <v>0</v>
      </c>
      <c r="D8" s="2">
        <f>Inputs!D$3*Inputs!D$6*Inputs!D13*52</f>
        <v>0</v>
      </c>
      <c r="E8" s="2">
        <f>Inputs!E$3*Inputs!E$6*Inputs!E13*52</f>
        <v>0</v>
      </c>
      <c r="F8" s="2">
        <f>Inputs!F$3*Inputs!F$6*Inputs!F13*52</f>
        <v>0</v>
      </c>
      <c r="G8" s="2">
        <f>Inputs!G$3*Inputs!G$6*Inputs!G13*52</f>
        <v>0</v>
      </c>
      <c r="H8" s="2">
        <f>SUM(C8:G8)</f>
        <v>0</v>
      </c>
      <c r="I8" s="3">
        <f>IFERROR(SUM(C8:G8)/SUM(C$5:G$9),0)</f>
        <v>0</v>
      </c>
    </row>
    <row r="9" spans="2:9" x14ac:dyDescent="0.2">
      <c r="B9" s="26" t="s">
        <v>25</v>
      </c>
      <c r="C9" s="34">
        <f>Inputs!C$3*Inputs!C$6*Inputs!C14*52</f>
        <v>0</v>
      </c>
      <c r="D9" s="34">
        <f>Inputs!D$3*Inputs!D$6*Inputs!D14*52</f>
        <v>0</v>
      </c>
      <c r="E9" s="34">
        <f>Inputs!E$3*Inputs!E$6*Inputs!E14*52</f>
        <v>0</v>
      </c>
      <c r="F9" s="34">
        <f>Inputs!F$3*Inputs!F$6*Inputs!F14*52</f>
        <v>0</v>
      </c>
      <c r="G9" s="34">
        <f>Inputs!G$3*Inputs!G$6*Inputs!G14*52</f>
        <v>0</v>
      </c>
      <c r="H9" s="34">
        <f>SUM(C9:G9)</f>
        <v>0</v>
      </c>
      <c r="I9" s="3">
        <f>IFERROR(SUM(C9:G9)/SUM(C$5:G$9),0)</f>
        <v>0</v>
      </c>
    </row>
    <row r="10" spans="2:9" x14ac:dyDescent="0.2">
      <c r="B10" s="27" t="s">
        <v>42</v>
      </c>
      <c r="C10" s="35">
        <f t="shared" ref="C10:H10" si="0">SUM(C5:C9)</f>
        <v>0</v>
      </c>
      <c r="D10" s="35">
        <f t="shared" si="0"/>
        <v>0</v>
      </c>
      <c r="E10" s="35">
        <f t="shared" si="0"/>
        <v>0</v>
      </c>
      <c r="F10" s="35">
        <f t="shared" si="0"/>
        <v>0</v>
      </c>
      <c r="G10" s="35">
        <f t="shared" si="0"/>
        <v>0</v>
      </c>
      <c r="H10" s="35">
        <f t="shared" si="0"/>
        <v>0</v>
      </c>
    </row>
    <row r="11" spans="2:9" x14ac:dyDescent="0.2">
      <c r="B11" t="s">
        <v>43</v>
      </c>
      <c r="C11" s="3">
        <f>IFERROR(SUM(C5:C9)/SUM($C$5:$G$9),0)</f>
        <v>0</v>
      </c>
      <c r="D11" s="3">
        <f>IFERROR(SUM(D5:D9)/SUM($C$5:$G$9),0)</f>
        <v>0</v>
      </c>
      <c r="E11" s="3">
        <f>IFERROR(SUM(E5:E9)/SUM($C$5:$G$9),0)</f>
        <v>0</v>
      </c>
      <c r="F11" s="3">
        <f>IFERROR(SUM(F5:F9)/SUM($C$5:$G$9),0)</f>
        <v>0</v>
      </c>
      <c r="G11" s="3">
        <f>IFERROR(SUM(G5:G9)/SUM($C$5:$G$9),0)</f>
        <v>0</v>
      </c>
      <c r="H11" s="3"/>
    </row>
    <row r="12" spans="2:9" ht="8.5" customHeight="1" x14ac:dyDescent="0.2"/>
    <row r="13" spans="2:9" x14ac:dyDescent="0.2">
      <c r="B13" s="38" t="s">
        <v>44</v>
      </c>
      <c r="C13" s="66"/>
      <c r="D13" s="66"/>
      <c r="E13" s="66"/>
      <c r="F13" s="66"/>
      <c r="G13" s="66"/>
      <c r="H13" s="37"/>
    </row>
    <row r="14" spans="2:9" x14ac:dyDescent="0.2">
      <c r="B14" t="s">
        <v>21</v>
      </c>
      <c r="C14" s="67"/>
      <c r="D14" s="67"/>
      <c r="E14" s="67"/>
      <c r="F14" s="67"/>
      <c r="G14" s="67"/>
      <c r="H14" s="2">
        <f>Inputs!C25*Inputs!D25*52</f>
        <v>0</v>
      </c>
      <c r="I14" s="3">
        <f>IFERROR(SUM(D14:H14)/SUM(D$14:H$18),0)</f>
        <v>0</v>
      </c>
    </row>
    <row r="15" spans="2:9" x14ac:dyDescent="0.2">
      <c r="B15" t="s">
        <v>22</v>
      </c>
      <c r="C15" s="67"/>
      <c r="D15" s="67"/>
      <c r="E15" s="67"/>
      <c r="F15" s="67"/>
      <c r="G15" s="67"/>
      <c r="H15" s="2">
        <f>Inputs!C26*Inputs!D26*52</f>
        <v>0</v>
      </c>
      <c r="I15" s="3">
        <f t="shared" ref="I15:I18" si="1">IFERROR(SUM(D15:H15)/SUM(D$14:H$18),0)</f>
        <v>0</v>
      </c>
    </row>
    <row r="16" spans="2:9" x14ac:dyDescent="0.2">
      <c r="B16" t="s">
        <v>23</v>
      </c>
      <c r="C16" s="67"/>
      <c r="D16" s="67"/>
      <c r="E16" s="67"/>
      <c r="F16" s="67"/>
      <c r="G16" s="67"/>
      <c r="H16" s="2">
        <f>Inputs!C27*Inputs!D27*52</f>
        <v>0</v>
      </c>
      <c r="I16" s="3">
        <f t="shared" si="1"/>
        <v>0</v>
      </c>
    </row>
    <row r="17" spans="2:9" x14ac:dyDescent="0.2">
      <c r="B17" t="s">
        <v>24</v>
      </c>
      <c r="C17" s="67"/>
      <c r="D17" s="67"/>
      <c r="E17" s="67"/>
      <c r="F17" s="67"/>
      <c r="G17" s="67"/>
      <c r="H17" s="2">
        <f>Inputs!C28*Inputs!D28*52</f>
        <v>0</v>
      </c>
      <c r="I17" s="3">
        <f t="shared" si="1"/>
        <v>0</v>
      </c>
    </row>
    <row r="18" spans="2:9" x14ac:dyDescent="0.2">
      <c r="B18" s="26" t="s">
        <v>25</v>
      </c>
      <c r="C18" s="68"/>
      <c r="D18" s="68"/>
      <c r="E18" s="68"/>
      <c r="F18" s="68"/>
      <c r="G18" s="68"/>
      <c r="H18" s="34">
        <f>Inputs!C29*Inputs!D29*52</f>
        <v>0</v>
      </c>
      <c r="I18" s="3">
        <f t="shared" si="1"/>
        <v>0</v>
      </c>
    </row>
    <row r="19" spans="2:9" x14ac:dyDescent="0.2">
      <c r="B19" s="27" t="s">
        <v>45</v>
      </c>
      <c r="C19" s="35"/>
      <c r="D19" s="35"/>
      <c r="E19" s="35"/>
      <c r="F19" s="35"/>
      <c r="G19" s="35"/>
      <c r="H19" s="35">
        <f t="shared" ref="H19" si="2">SUM(H14:H18)</f>
        <v>0</v>
      </c>
    </row>
    <row r="20" spans="2:9" x14ac:dyDescent="0.2">
      <c r="B20" t="s">
        <v>43</v>
      </c>
      <c r="C20" s="3"/>
      <c r="D20" s="3"/>
      <c r="E20" s="3"/>
      <c r="F20" s="3"/>
      <c r="G20" s="3"/>
      <c r="H20" s="3"/>
    </row>
    <row r="21" spans="2:9" ht="8.5" customHeight="1" x14ac:dyDescent="0.2"/>
    <row r="22" spans="2:9" x14ac:dyDescent="0.2">
      <c r="B22" s="38" t="s">
        <v>35</v>
      </c>
      <c r="C22" s="37"/>
      <c r="D22" s="37"/>
      <c r="E22" s="37"/>
      <c r="F22" s="37"/>
      <c r="G22" s="37"/>
      <c r="H22" s="37"/>
    </row>
    <row r="23" spans="2:9" x14ac:dyDescent="0.2">
      <c r="B23" t="s">
        <v>21</v>
      </c>
      <c r="C23" s="2">
        <f>C5*Inputs!C18</f>
        <v>0</v>
      </c>
      <c r="D23" s="2">
        <f>D5*Inputs!D18</f>
        <v>0</v>
      </c>
      <c r="E23" s="2">
        <f>E5*Inputs!E18</f>
        <v>0</v>
      </c>
      <c r="F23" s="2">
        <f>F5*Inputs!F18</f>
        <v>0</v>
      </c>
      <c r="G23" s="2">
        <f>G5*Inputs!G18</f>
        <v>0</v>
      </c>
      <c r="H23" s="2">
        <f>SUM(C23:G23)</f>
        <v>0</v>
      </c>
      <c r="I23" s="3">
        <f>IFERROR(SUM(C23:G23)/SUM(C$23:G$27),0)</f>
        <v>0</v>
      </c>
    </row>
    <row r="24" spans="2:9" x14ac:dyDescent="0.2">
      <c r="B24" t="s">
        <v>22</v>
      </c>
      <c r="C24" s="2">
        <f>C6*Inputs!C19</f>
        <v>0</v>
      </c>
      <c r="D24" s="2">
        <f>D6*Inputs!D19</f>
        <v>0</v>
      </c>
      <c r="E24" s="2">
        <f>E6*Inputs!E19</f>
        <v>0</v>
      </c>
      <c r="F24" s="2">
        <f>F6*Inputs!F19</f>
        <v>0</v>
      </c>
      <c r="G24" s="2">
        <f>G6*Inputs!G19</f>
        <v>0</v>
      </c>
      <c r="H24" s="2">
        <f>SUM(C24:G24)</f>
        <v>0</v>
      </c>
      <c r="I24" s="3">
        <f>IFERROR(SUM(C24:G24)/SUM(C$23:G$27),0)</f>
        <v>0</v>
      </c>
    </row>
    <row r="25" spans="2:9" x14ac:dyDescent="0.2">
      <c r="B25" t="s">
        <v>23</v>
      </c>
      <c r="C25" s="2">
        <f>C7*Inputs!C20</f>
        <v>0</v>
      </c>
      <c r="D25" s="2">
        <f>D7*Inputs!D20</f>
        <v>0</v>
      </c>
      <c r="E25" s="2">
        <f>E7*Inputs!E20</f>
        <v>0</v>
      </c>
      <c r="F25" s="2">
        <f>F7*Inputs!F20</f>
        <v>0</v>
      </c>
      <c r="G25" s="2">
        <f>G7*Inputs!G20</f>
        <v>0</v>
      </c>
      <c r="H25" s="2">
        <f>SUM(C25:G25)</f>
        <v>0</v>
      </c>
      <c r="I25" s="3">
        <f>IFERROR(SUM(C25:G25)/SUM(C$23:G$27),0)</f>
        <v>0</v>
      </c>
    </row>
    <row r="26" spans="2:9" x14ac:dyDescent="0.2">
      <c r="B26" t="s">
        <v>24</v>
      </c>
      <c r="C26" s="2">
        <f>C8*Inputs!C21</f>
        <v>0</v>
      </c>
      <c r="D26" s="2">
        <f>D8*Inputs!D21</f>
        <v>0</v>
      </c>
      <c r="E26" s="2">
        <f>E8*Inputs!E21</f>
        <v>0</v>
      </c>
      <c r="F26" s="2">
        <f>F8*Inputs!F21</f>
        <v>0</v>
      </c>
      <c r="G26" s="2">
        <f>G8*Inputs!G21</f>
        <v>0</v>
      </c>
      <c r="H26" s="2">
        <f>SUM(C26:G26)</f>
        <v>0</v>
      </c>
      <c r="I26" s="3">
        <f>IFERROR(SUM(C26:G26)/SUM(C$23:G$27),0)</f>
        <v>0</v>
      </c>
    </row>
    <row r="27" spans="2:9" x14ac:dyDescent="0.2">
      <c r="B27" s="26" t="s">
        <v>25</v>
      </c>
      <c r="C27" s="34">
        <f>C9*Inputs!C22</f>
        <v>0</v>
      </c>
      <c r="D27" s="34">
        <f>D9*Inputs!D22</f>
        <v>0</v>
      </c>
      <c r="E27" s="34">
        <f>E9*Inputs!E22</f>
        <v>0</v>
      </c>
      <c r="F27" s="34">
        <f>F9*Inputs!F22</f>
        <v>0</v>
      </c>
      <c r="G27" s="34">
        <f>G9*Inputs!G22</f>
        <v>0</v>
      </c>
      <c r="H27" s="34">
        <f>SUM(C27:G27)</f>
        <v>0</v>
      </c>
      <c r="I27" s="3">
        <f>IFERROR(SUM(C27:G27)/SUM(C$23:G$27),0)</f>
        <v>0</v>
      </c>
    </row>
    <row r="28" spans="2:9" x14ac:dyDescent="0.2">
      <c r="B28" s="27" t="s">
        <v>46</v>
      </c>
      <c r="C28" s="35">
        <f t="shared" ref="C28:H28" si="3">SUM(C23:C27)</f>
        <v>0</v>
      </c>
      <c r="D28" s="35">
        <f t="shared" si="3"/>
        <v>0</v>
      </c>
      <c r="E28" s="35">
        <f t="shared" si="3"/>
        <v>0</v>
      </c>
      <c r="F28" s="35">
        <f t="shared" si="3"/>
        <v>0</v>
      </c>
      <c r="G28" s="35">
        <f t="shared" si="3"/>
        <v>0</v>
      </c>
      <c r="H28" s="35">
        <f t="shared" si="3"/>
        <v>0</v>
      </c>
    </row>
    <row r="29" spans="2:9" x14ac:dyDescent="0.2">
      <c r="B29" t="s">
        <v>43</v>
      </c>
      <c r="C29" s="3">
        <f>IFERROR(SUM(C23:C27)/SUM($C$23:$G$27),0)</f>
        <v>0</v>
      </c>
      <c r="D29" s="3">
        <f>IFERROR(SUM(D23:D27)/SUM($C$23:$G$27),0)</f>
        <v>0</v>
      </c>
      <c r="E29" s="3">
        <f>IFERROR(SUM(E23:E27)/SUM($C$23:$G$27),0)</f>
        <v>0</v>
      </c>
      <c r="F29" s="3">
        <f>IFERROR(SUM(F23:F27)/SUM($C$23:$G$27),0)</f>
        <v>0</v>
      </c>
      <c r="G29" s="3">
        <f>IFERROR(SUM(G23:G27)/SUM($C$23:$G$27),0)</f>
        <v>0</v>
      </c>
      <c r="H29" s="3"/>
    </row>
    <row r="30" spans="2:9" ht="8.5" customHeight="1" x14ac:dyDescent="0.2"/>
    <row r="31" spans="2:9" x14ac:dyDescent="0.2">
      <c r="B31" s="38" t="s">
        <v>36</v>
      </c>
      <c r="C31" s="37"/>
      <c r="D31" s="37"/>
      <c r="E31" s="37"/>
      <c r="F31" s="37"/>
      <c r="G31" s="37"/>
      <c r="H31" s="37"/>
    </row>
    <row r="32" spans="2:9" x14ac:dyDescent="0.2">
      <c r="B32" t="s">
        <v>21</v>
      </c>
      <c r="C32" s="2">
        <f>C5-C14-C23</f>
        <v>0</v>
      </c>
      <c r="D32" s="2">
        <f t="shared" ref="D32:H36" si="4">D5-D14-D23</f>
        <v>0</v>
      </c>
      <c r="E32" s="2">
        <f t="shared" si="4"/>
        <v>0</v>
      </c>
      <c r="F32" s="2">
        <f t="shared" si="4"/>
        <v>0</v>
      </c>
      <c r="G32" s="2">
        <f t="shared" si="4"/>
        <v>0</v>
      </c>
      <c r="H32" s="2">
        <f t="shared" si="4"/>
        <v>0</v>
      </c>
      <c r="I32" s="3">
        <f>IFERROR(SUM(C32:G32)/SUM(C$32:G$36),0)</f>
        <v>0</v>
      </c>
    </row>
    <row r="33" spans="2:9" x14ac:dyDescent="0.2">
      <c r="B33" t="s">
        <v>22</v>
      </c>
      <c r="C33" s="2">
        <f t="shared" ref="C33:C36" si="5">C6-C15-C24</f>
        <v>0</v>
      </c>
      <c r="D33" s="2">
        <f t="shared" si="4"/>
        <v>0</v>
      </c>
      <c r="E33" s="2">
        <f t="shared" si="4"/>
        <v>0</v>
      </c>
      <c r="F33" s="2">
        <f t="shared" si="4"/>
        <v>0</v>
      </c>
      <c r="G33" s="2">
        <f t="shared" si="4"/>
        <v>0</v>
      </c>
      <c r="H33" s="2">
        <f t="shared" si="4"/>
        <v>0</v>
      </c>
      <c r="I33" s="3">
        <f>IFERROR(SUM(C33:G33)/SUM(C$32:G$36),0)</f>
        <v>0</v>
      </c>
    </row>
    <row r="34" spans="2:9" x14ac:dyDescent="0.2">
      <c r="B34" t="s">
        <v>23</v>
      </c>
      <c r="C34" s="2">
        <f t="shared" si="5"/>
        <v>0</v>
      </c>
      <c r="D34" s="2">
        <f t="shared" si="4"/>
        <v>0</v>
      </c>
      <c r="E34" s="2">
        <f t="shared" si="4"/>
        <v>0</v>
      </c>
      <c r="F34" s="2">
        <f t="shared" si="4"/>
        <v>0</v>
      </c>
      <c r="G34" s="2">
        <f t="shared" si="4"/>
        <v>0</v>
      </c>
      <c r="H34" s="2">
        <f t="shared" si="4"/>
        <v>0</v>
      </c>
      <c r="I34" s="3">
        <f>IFERROR(SUM(C34:G34)/SUM(C$32:G$36),0)</f>
        <v>0</v>
      </c>
    </row>
    <row r="35" spans="2:9" x14ac:dyDescent="0.2">
      <c r="B35" t="s">
        <v>24</v>
      </c>
      <c r="C35" s="2">
        <f t="shared" si="5"/>
        <v>0</v>
      </c>
      <c r="D35" s="2">
        <f t="shared" si="4"/>
        <v>0</v>
      </c>
      <c r="E35" s="2">
        <f t="shared" si="4"/>
        <v>0</v>
      </c>
      <c r="F35" s="2">
        <f t="shared" si="4"/>
        <v>0</v>
      </c>
      <c r="G35" s="2">
        <f t="shared" si="4"/>
        <v>0</v>
      </c>
      <c r="H35" s="2">
        <f t="shared" si="4"/>
        <v>0</v>
      </c>
      <c r="I35" s="3">
        <f>IFERROR(SUM(C35:G35)/SUM(C$32:G$36),0)</f>
        <v>0</v>
      </c>
    </row>
    <row r="36" spans="2:9" x14ac:dyDescent="0.2">
      <c r="B36" s="26" t="s">
        <v>25</v>
      </c>
      <c r="C36" s="34">
        <f t="shared" si="5"/>
        <v>0</v>
      </c>
      <c r="D36" s="34">
        <f t="shared" si="4"/>
        <v>0</v>
      </c>
      <c r="E36" s="34">
        <f t="shared" si="4"/>
        <v>0</v>
      </c>
      <c r="F36" s="34">
        <f t="shared" si="4"/>
        <v>0</v>
      </c>
      <c r="G36" s="34">
        <f t="shared" si="4"/>
        <v>0</v>
      </c>
      <c r="H36" s="34">
        <f t="shared" si="4"/>
        <v>0</v>
      </c>
      <c r="I36" s="3">
        <f>IFERROR(SUM(C36:G36)/SUM(C$32:G$36),0)</f>
        <v>0</v>
      </c>
    </row>
    <row r="37" spans="2:9" x14ac:dyDescent="0.2">
      <c r="B37" s="27" t="s">
        <v>47</v>
      </c>
      <c r="C37" s="35">
        <f t="shared" ref="C37:H37" si="6">SUM(C32:C36)</f>
        <v>0</v>
      </c>
      <c r="D37" s="35">
        <f t="shared" si="6"/>
        <v>0</v>
      </c>
      <c r="E37" s="35">
        <f t="shared" si="6"/>
        <v>0</v>
      </c>
      <c r="F37" s="35">
        <f t="shared" si="6"/>
        <v>0</v>
      </c>
      <c r="G37" s="35">
        <f t="shared" si="6"/>
        <v>0</v>
      </c>
      <c r="H37" s="35">
        <f t="shared" si="6"/>
        <v>0</v>
      </c>
    </row>
    <row r="38" spans="2:9" x14ac:dyDescent="0.2">
      <c r="B38" t="s">
        <v>43</v>
      </c>
      <c r="C38" s="3">
        <f>IFERROR(SUM(C32:C36)/SUM($C$32:$G$36),0)</f>
        <v>0</v>
      </c>
      <c r="D38" s="3">
        <f>IFERROR(SUM(D32:D36)/SUM($C$32:$G$36),0)</f>
        <v>0</v>
      </c>
      <c r="E38" s="3">
        <f>IFERROR(SUM(E32:E36)/SUM($C$32:$G$36),0)</f>
        <v>0</v>
      </c>
      <c r="F38" s="3">
        <f>IFERROR(SUM(F32:F36)/SUM($C$32:$G$36),0)</f>
        <v>0</v>
      </c>
      <c r="G38" s="3">
        <f>IFERROR(SUM(G32:G36)/SUM($C$32:$G$36),0)</f>
        <v>0</v>
      </c>
      <c r="H38" s="3"/>
    </row>
    <row r="40" spans="2:9" x14ac:dyDescent="0.2">
      <c r="B40" s="58" t="s">
        <v>48</v>
      </c>
      <c r="C40" s="60"/>
      <c r="D40" s="60"/>
      <c r="E40" s="60"/>
      <c r="F40" s="60"/>
      <c r="G40" s="60"/>
      <c r="H40" s="60">
        <f>IFERROR(H37/H10,0)</f>
        <v>0</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A776F-9599-4D63-B812-04F3D332A61B}">
  <sheetPr>
    <tabColor theme="1"/>
  </sheetPr>
  <dimension ref="A1"/>
  <sheetViews>
    <sheetView workbookViewId="0">
      <selection activeCell="B107" sqref="B107"/>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84AA-65C7-4291-903F-757A5630EF42}">
  <dimension ref="A1:G26"/>
  <sheetViews>
    <sheetView zoomScale="115" zoomScaleNormal="115" workbookViewId="0">
      <selection activeCell="B107" sqref="B107"/>
    </sheetView>
  </sheetViews>
  <sheetFormatPr baseColWidth="10" defaultColWidth="8.83203125" defaultRowHeight="15" x14ac:dyDescent="0.2"/>
  <cols>
    <col min="1" max="1" width="33.5" bestFit="1" customWidth="1"/>
    <col min="2" max="2" width="13.1640625" bestFit="1" customWidth="1"/>
    <col min="3" max="7" width="10.5" customWidth="1"/>
    <col min="10" max="10" width="30.83203125" bestFit="1" customWidth="1"/>
    <col min="11" max="11" width="12" bestFit="1" customWidth="1"/>
  </cols>
  <sheetData>
    <row r="1" spans="1:7" x14ac:dyDescent="0.2">
      <c r="B1" t="s">
        <v>51</v>
      </c>
    </row>
    <row r="2" spans="1:7" x14ac:dyDescent="0.2">
      <c r="A2" t="s">
        <v>52</v>
      </c>
      <c r="B2" s="1" t="e">
        <f>SUM('Personal Training Proforma'!#REF!)</f>
        <v>#REF!</v>
      </c>
    </row>
    <row r="3" spans="1:7" ht="16" thickBot="1" x14ac:dyDescent="0.25">
      <c r="A3" t="s">
        <v>53</v>
      </c>
      <c r="B3" s="1" t="e">
        <f>(('Personal Training Proforma'!#REF!*'Personal Training Proforma'!#REF!)+('Personal Training Proforma'!#REF!*'Personal Training Proforma'!#REF!))/2</f>
        <v>#REF!</v>
      </c>
    </row>
    <row r="4" spans="1:7" ht="17" thickTop="1" thickBot="1" x14ac:dyDescent="0.25">
      <c r="A4" t="s">
        <v>54</v>
      </c>
      <c r="B4" s="6">
        <v>0.2</v>
      </c>
    </row>
    <row r="5" spans="1:7" ht="17" thickTop="1" thickBot="1" x14ac:dyDescent="0.25">
      <c r="A5" t="s">
        <v>55</v>
      </c>
      <c r="B5" s="1" t="e">
        <f>B4*B3</f>
        <v>#REF!</v>
      </c>
    </row>
    <row r="6" spans="1:7" ht="17" thickTop="1" thickBot="1" x14ac:dyDescent="0.25">
      <c r="A6" t="s">
        <v>56</v>
      </c>
      <c r="B6" s="7">
        <v>2</v>
      </c>
    </row>
    <row r="7" spans="1:7" ht="16" thickTop="1" x14ac:dyDescent="0.2">
      <c r="A7" t="s">
        <v>57</v>
      </c>
      <c r="B7" s="2" t="e">
        <f>AVERAGE('Personal Training Proforma'!#REF!)*(B6*4)</f>
        <v>#REF!</v>
      </c>
    </row>
    <row r="8" spans="1:7" x14ac:dyDescent="0.2">
      <c r="A8" t="s">
        <v>58</v>
      </c>
      <c r="B8" s="2" t="e">
        <f>B5*B7</f>
        <v>#REF!</v>
      </c>
    </row>
    <row r="10" spans="1:7" ht="16" thickBot="1" x14ac:dyDescent="0.25">
      <c r="B10" t="s">
        <v>59</v>
      </c>
      <c r="C10" t="s">
        <v>60</v>
      </c>
      <c r="D10" t="s">
        <v>61</v>
      </c>
      <c r="E10" t="s">
        <v>62</v>
      </c>
      <c r="F10" t="s">
        <v>63</v>
      </c>
      <c r="G10" t="s">
        <v>64</v>
      </c>
    </row>
    <row r="11" spans="1:7" ht="17" thickTop="1" thickBot="1" x14ac:dyDescent="0.25">
      <c r="A11" t="s">
        <v>65</v>
      </c>
      <c r="B11" s="7">
        <v>20</v>
      </c>
      <c r="C11" s="7">
        <v>20</v>
      </c>
      <c r="D11" s="7">
        <v>20</v>
      </c>
      <c r="E11" s="7">
        <v>20</v>
      </c>
      <c r="F11" s="7">
        <v>20</v>
      </c>
      <c r="G11" s="7">
        <v>20</v>
      </c>
    </row>
    <row r="12" spans="1:7" ht="17" thickTop="1" thickBot="1" x14ac:dyDescent="0.25">
      <c r="A12" t="s">
        <v>66</v>
      </c>
      <c r="B12" s="6">
        <v>0.2</v>
      </c>
      <c r="C12" s="6">
        <v>0.2</v>
      </c>
      <c r="D12" s="6">
        <v>0.2</v>
      </c>
      <c r="E12" s="6">
        <v>0.2</v>
      </c>
      <c r="F12" s="6">
        <v>0.2</v>
      </c>
      <c r="G12" s="6">
        <v>0.2</v>
      </c>
    </row>
    <row r="13" spans="1:7" ht="17" thickTop="1" thickBot="1" x14ac:dyDescent="0.25">
      <c r="A13" t="s">
        <v>67</v>
      </c>
      <c r="B13" s="1">
        <f>B12*B11</f>
        <v>4</v>
      </c>
      <c r="C13" s="1">
        <f t="shared" ref="C13:G13" si="0">C12*C11</f>
        <v>4</v>
      </c>
      <c r="D13" s="1">
        <f t="shared" si="0"/>
        <v>4</v>
      </c>
      <c r="E13" s="1">
        <f t="shared" si="0"/>
        <v>4</v>
      </c>
      <c r="F13" s="1">
        <f t="shared" si="0"/>
        <v>4</v>
      </c>
      <c r="G13" s="1">
        <f t="shared" si="0"/>
        <v>4</v>
      </c>
    </row>
    <row r="14" spans="1:7" ht="17" thickTop="1" thickBot="1" x14ac:dyDescent="0.25">
      <c r="A14" t="s">
        <v>68</v>
      </c>
      <c r="B14" s="7">
        <v>2</v>
      </c>
      <c r="C14" s="7">
        <v>2</v>
      </c>
      <c r="D14" s="7">
        <v>2</v>
      </c>
      <c r="E14" s="7">
        <v>2</v>
      </c>
      <c r="F14" s="7">
        <v>2</v>
      </c>
      <c r="G14" s="7">
        <v>2</v>
      </c>
    </row>
    <row r="15" spans="1:7" ht="17" thickTop="1" thickBot="1" x14ac:dyDescent="0.25">
      <c r="A15" t="s">
        <v>69</v>
      </c>
      <c r="B15" s="6">
        <v>0.5</v>
      </c>
      <c r="C15" s="6">
        <v>0.5</v>
      </c>
      <c r="D15" s="6">
        <v>0.5</v>
      </c>
      <c r="E15" s="6">
        <v>0.5</v>
      </c>
      <c r="F15" s="6">
        <v>0.5</v>
      </c>
      <c r="G15" s="6">
        <v>0.5</v>
      </c>
    </row>
    <row r="16" spans="1:7" ht="17" thickTop="1" thickBot="1" x14ac:dyDescent="0.25">
      <c r="A16" t="s">
        <v>70</v>
      </c>
      <c r="B16" s="1">
        <f>(B13+B14)*B15</f>
        <v>3</v>
      </c>
      <c r="C16" s="1">
        <f t="shared" ref="C16:G16" si="1">(C13+C14)*C15</f>
        <v>3</v>
      </c>
      <c r="D16" s="1">
        <f t="shared" si="1"/>
        <v>3</v>
      </c>
      <c r="E16" s="1">
        <f t="shared" si="1"/>
        <v>3</v>
      </c>
      <c r="F16" s="1">
        <f t="shared" si="1"/>
        <v>3</v>
      </c>
      <c r="G16" s="1">
        <f t="shared" si="1"/>
        <v>3</v>
      </c>
    </row>
    <row r="17" spans="1:7" ht="17" thickTop="1" thickBot="1" x14ac:dyDescent="0.25">
      <c r="A17" t="s">
        <v>71</v>
      </c>
      <c r="B17" s="6">
        <v>0.66</v>
      </c>
      <c r="C17" s="6">
        <v>0.66</v>
      </c>
      <c r="D17" s="6">
        <v>0.66</v>
      </c>
      <c r="E17" s="6">
        <v>0.66</v>
      </c>
      <c r="F17" s="6">
        <v>0.66</v>
      </c>
      <c r="G17" s="6">
        <v>0.66</v>
      </c>
    </row>
    <row r="18" spans="1:7" ht="17" thickTop="1" thickBot="1" x14ac:dyDescent="0.25">
      <c r="A18" t="s">
        <v>72</v>
      </c>
      <c r="B18" s="1">
        <f>B16*B17</f>
        <v>1.98</v>
      </c>
      <c r="C18" s="1">
        <f t="shared" ref="C18:G18" si="2">C16*C17</f>
        <v>1.98</v>
      </c>
      <c r="D18" s="1">
        <f t="shared" si="2"/>
        <v>1.98</v>
      </c>
      <c r="E18" s="1">
        <f t="shared" si="2"/>
        <v>1.98</v>
      </c>
      <c r="F18" s="1">
        <f t="shared" si="2"/>
        <v>1.98</v>
      </c>
      <c r="G18" s="1">
        <f t="shared" si="2"/>
        <v>1.98</v>
      </c>
    </row>
    <row r="19" spans="1:7" ht="17" thickTop="1" thickBot="1" x14ac:dyDescent="0.25">
      <c r="A19" t="s">
        <v>73</v>
      </c>
      <c r="B19" s="6">
        <v>0.33</v>
      </c>
      <c r="C19" s="6">
        <v>0.33</v>
      </c>
      <c r="D19" s="6">
        <v>0.33</v>
      </c>
      <c r="E19" s="6">
        <v>0.33</v>
      </c>
      <c r="F19" s="6">
        <v>0.33</v>
      </c>
      <c r="G19" s="6">
        <v>0.33</v>
      </c>
    </row>
    <row r="20" spans="1:7" ht="16" thickTop="1" x14ac:dyDescent="0.2">
      <c r="A20" t="s">
        <v>74</v>
      </c>
      <c r="B20" s="1">
        <f>B16*B19</f>
        <v>0.99</v>
      </c>
      <c r="C20" s="1">
        <f t="shared" ref="C20:G20" si="3">C16*C19</f>
        <v>0.99</v>
      </c>
      <c r="D20" s="1">
        <f t="shared" si="3"/>
        <v>0.99</v>
      </c>
      <c r="E20" s="1">
        <f t="shared" si="3"/>
        <v>0.99</v>
      </c>
      <c r="F20" s="1">
        <f t="shared" si="3"/>
        <v>0.99</v>
      </c>
      <c r="G20" s="1">
        <f t="shared" si="3"/>
        <v>0.99</v>
      </c>
    </row>
    <row r="21" spans="1:7" ht="16" thickBot="1" x14ac:dyDescent="0.25">
      <c r="A21" t="s">
        <v>75</v>
      </c>
      <c r="B21" s="1" t="e">
        <f>B3</f>
        <v>#REF!</v>
      </c>
      <c r="C21" s="1">
        <f>B20</f>
        <v>0.99</v>
      </c>
      <c r="D21" s="1">
        <f t="shared" ref="D21:G21" si="4">C20</f>
        <v>0.99</v>
      </c>
      <c r="E21" s="1">
        <f t="shared" si="4"/>
        <v>0.99</v>
      </c>
      <c r="F21" s="1">
        <f t="shared" si="4"/>
        <v>0.99</v>
      </c>
      <c r="G21" s="1">
        <f t="shared" si="4"/>
        <v>0.99</v>
      </c>
    </row>
    <row r="22" spans="1:7" ht="17" thickTop="1" thickBot="1" x14ac:dyDescent="0.25">
      <c r="A22" t="s">
        <v>76</v>
      </c>
      <c r="B22" s="3">
        <f>B4</f>
        <v>0.2</v>
      </c>
      <c r="C22" s="6">
        <v>1</v>
      </c>
      <c r="D22" s="6">
        <v>1</v>
      </c>
      <c r="E22" s="6">
        <v>1</v>
      </c>
      <c r="F22" s="6">
        <v>1</v>
      </c>
      <c r="G22" s="6">
        <v>1</v>
      </c>
    </row>
    <row r="23" spans="1:7" ht="16" thickTop="1" x14ac:dyDescent="0.2">
      <c r="A23" t="s">
        <v>77</v>
      </c>
      <c r="B23" s="1" t="e">
        <f>B21*B22</f>
        <v>#REF!</v>
      </c>
      <c r="C23" s="1">
        <f t="shared" ref="C23:G23" si="5">C21*C22</f>
        <v>0.99</v>
      </c>
      <c r="D23" s="1">
        <f t="shared" si="5"/>
        <v>0.99</v>
      </c>
      <c r="E23" s="1">
        <f t="shared" si="5"/>
        <v>0.99</v>
      </c>
      <c r="F23" s="1">
        <f t="shared" si="5"/>
        <v>0.99</v>
      </c>
      <c r="G23" s="1">
        <f t="shared" si="5"/>
        <v>0.99</v>
      </c>
    </row>
    <row r="24" spans="1:7" x14ac:dyDescent="0.2">
      <c r="A24" t="s">
        <v>78</v>
      </c>
      <c r="B24" s="2" t="e">
        <f>(B18*$B$7)+(B23*$B$7)</f>
        <v>#REF!</v>
      </c>
      <c r="C24" s="2" t="e">
        <f t="shared" ref="C24:G24" si="6">(C18*$B$7)+(C23*$B$7)</f>
        <v>#REF!</v>
      </c>
      <c r="D24" s="2" t="e">
        <f t="shared" si="6"/>
        <v>#REF!</v>
      </c>
      <c r="E24" s="2" t="e">
        <f t="shared" si="6"/>
        <v>#REF!</v>
      </c>
      <c r="F24" s="2" t="e">
        <f t="shared" si="6"/>
        <v>#REF!</v>
      </c>
      <c r="G24" s="2" t="e">
        <f t="shared" si="6"/>
        <v>#REF!</v>
      </c>
    </row>
    <row r="25" spans="1:7" x14ac:dyDescent="0.2">
      <c r="A25" t="s">
        <v>79</v>
      </c>
      <c r="B25" s="2" t="e">
        <f>SUM($B$24:B24)</f>
        <v>#REF!</v>
      </c>
      <c r="C25" s="2" t="e">
        <f>SUM($B$24:C24)</f>
        <v>#REF!</v>
      </c>
      <c r="D25" s="2" t="e">
        <f>SUM($B$24:D24)</f>
        <v>#REF!</v>
      </c>
      <c r="E25" s="2" t="e">
        <f>SUM($B$24:E24)</f>
        <v>#REF!</v>
      </c>
      <c r="F25" s="2" t="e">
        <f>SUM($B$24:F24)</f>
        <v>#REF!</v>
      </c>
      <c r="G25" s="2" t="e">
        <f>SUM($B$24:G24)</f>
        <v>#REF!</v>
      </c>
    </row>
    <row r="26" spans="1:7" x14ac:dyDescent="0.2">
      <c r="A26" t="s">
        <v>80</v>
      </c>
      <c r="B26" s="3" t="e">
        <f>B25/'Personal Training Proforma'!$J$7</f>
        <v>#REF!</v>
      </c>
      <c r="C26" s="3" t="e">
        <f>C25/'Personal Training Proforma'!$J$7</f>
        <v>#REF!</v>
      </c>
      <c r="D26" s="3" t="e">
        <f>D25/'Personal Training Proforma'!$J$7</f>
        <v>#REF!</v>
      </c>
      <c r="E26" s="3" t="e">
        <f>E25/'Personal Training Proforma'!$J$7</f>
        <v>#REF!</v>
      </c>
      <c r="F26" s="3" t="e">
        <f>F25/'Personal Training Proforma'!$J$7</f>
        <v>#REF!</v>
      </c>
      <c r="G26" s="3" t="e">
        <f>G25/'Personal Training Proforma'!$J$7</f>
        <v>#REF!</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72063-D1AF-46DB-BF3E-85100F8FBB29}">
  <sheetPr>
    <tabColor theme="1"/>
  </sheetPr>
  <dimension ref="A1"/>
  <sheetViews>
    <sheetView workbookViewId="0">
      <selection activeCell="B107" sqref="B107"/>
    </sheetView>
  </sheetViews>
  <sheetFormatPr baseColWidth="10" defaultColWidth="8.83203125" defaultRowHeight="15"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949EA-E39F-4FBF-9E69-F79BC2E45B63}">
  <dimension ref="A1:L99"/>
  <sheetViews>
    <sheetView showGridLines="0" zoomScale="85" zoomScaleNormal="85" workbookViewId="0">
      <selection activeCell="B107" sqref="B107"/>
    </sheetView>
  </sheetViews>
  <sheetFormatPr baseColWidth="10" defaultColWidth="8.83203125" defaultRowHeight="15" x14ac:dyDescent="0.2"/>
  <cols>
    <col min="1" max="1" width="4.1640625" style="21" customWidth="1"/>
    <col min="2" max="2" width="65.5" customWidth="1"/>
    <col min="3" max="4" width="19.1640625" customWidth="1"/>
    <col min="5" max="5" width="20" bestFit="1" customWidth="1"/>
    <col min="6" max="8" width="19.1640625" customWidth="1"/>
    <col min="9" max="9" width="12.83203125" bestFit="1" customWidth="1"/>
    <col min="10" max="10" width="12" bestFit="1" customWidth="1"/>
    <col min="11" max="11" width="12.1640625" bestFit="1" customWidth="1"/>
    <col min="12" max="12" width="11.1640625" bestFit="1" customWidth="1"/>
    <col min="13" max="13" width="10" bestFit="1" customWidth="1"/>
  </cols>
  <sheetData>
    <row r="1" spans="1:12" x14ac:dyDescent="0.2">
      <c r="B1" s="9" t="s">
        <v>81</v>
      </c>
      <c r="C1" s="10" t="s">
        <v>7</v>
      </c>
      <c r="D1" s="10" t="s">
        <v>8</v>
      </c>
      <c r="E1" s="10" t="s">
        <v>82</v>
      </c>
      <c r="F1" s="10" t="s">
        <v>9</v>
      </c>
      <c r="G1" s="10" t="s">
        <v>10</v>
      </c>
      <c r="H1" s="10" t="s">
        <v>11</v>
      </c>
      <c r="J1" s="10" t="s">
        <v>83</v>
      </c>
      <c r="L1" s="10" t="s">
        <v>84</v>
      </c>
    </row>
    <row r="2" spans="1:12" x14ac:dyDescent="0.2">
      <c r="A2" s="23"/>
      <c r="B2" t="s">
        <v>21</v>
      </c>
      <c r="C2" s="2">
        <f>Inputs!C$3*Inputs!C$6*Inputs!C10</f>
        <v>0</v>
      </c>
      <c r="D2" s="2">
        <f>Inputs!D$3*Inputs!D$6*Inputs!D10</f>
        <v>0</v>
      </c>
      <c r="E2" s="2" t="e">
        <f>Inputs!#REF!*Inputs!#REF!*Inputs!#REF!</f>
        <v>#REF!</v>
      </c>
      <c r="F2" s="2">
        <f>Inputs!E$3*Inputs!E$6*Inputs!E10</f>
        <v>0</v>
      </c>
      <c r="G2" s="2">
        <f>Inputs!F$3*Inputs!F$6*Inputs!F10</f>
        <v>0</v>
      </c>
      <c r="H2" s="2">
        <f>Inputs!G$3*Inputs!G$6*Inputs!G10</f>
        <v>0</v>
      </c>
      <c r="J2" s="2" t="e">
        <f>SUM(C2:H2)*52/12</f>
        <v>#REF!</v>
      </c>
      <c r="L2" s="2" t="e">
        <f>SUM(C2:H2)*52</f>
        <v>#REF!</v>
      </c>
    </row>
    <row r="3" spans="1:12" x14ac:dyDescent="0.2">
      <c r="A3" s="23"/>
      <c r="B3" t="s">
        <v>22</v>
      </c>
      <c r="C3" s="2">
        <f>Inputs!C$3*Inputs!C$6*Inputs!C11</f>
        <v>0</v>
      </c>
      <c r="D3" s="2">
        <f>Inputs!D$3*Inputs!D$6*Inputs!D11</f>
        <v>0</v>
      </c>
      <c r="E3" s="2" t="e">
        <f>Inputs!#REF!*Inputs!#REF!*Inputs!#REF!</f>
        <v>#REF!</v>
      </c>
      <c r="F3" s="2">
        <f>Inputs!E$3*Inputs!E$6*Inputs!E11</f>
        <v>0</v>
      </c>
      <c r="G3" s="2">
        <f>Inputs!F$3*Inputs!F$6*Inputs!F11</f>
        <v>0</v>
      </c>
      <c r="H3" s="2">
        <f>Inputs!G$3*Inputs!G$6*Inputs!G11</f>
        <v>0</v>
      </c>
      <c r="J3" s="2" t="e">
        <f t="shared" ref="J3:J7" si="0">SUM(C3:H3)*52/12</f>
        <v>#REF!</v>
      </c>
      <c r="L3" s="2" t="e">
        <f t="shared" ref="L3:L7" si="1">SUM(C3:H3)*52</f>
        <v>#REF!</v>
      </c>
    </row>
    <row r="4" spans="1:12" x14ac:dyDescent="0.2">
      <c r="A4" s="23"/>
      <c r="B4" t="s">
        <v>23</v>
      </c>
      <c r="C4" s="2">
        <f>Inputs!C$3*Inputs!C$6*Inputs!C12</f>
        <v>0</v>
      </c>
      <c r="D4" s="2">
        <f>Inputs!D$3*Inputs!D$6*Inputs!D12</f>
        <v>0</v>
      </c>
      <c r="E4" s="2" t="e">
        <f>Inputs!#REF!*Inputs!#REF!*Inputs!#REF!</f>
        <v>#REF!</v>
      </c>
      <c r="F4" s="2">
        <f>Inputs!E$3*Inputs!E$6*Inputs!E12</f>
        <v>0</v>
      </c>
      <c r="G4" s="2">
        <f>Inputs!F$3*Inputs!F$6*Inputs!F12</f>
        <v>0</v>
      </c>
      <c r="H4" s="2">
        <f>Inputs!G$3*Inputs!G$6*Inputs!G12</f>
        <v>0</v>
      </c>
      <c r="J4" s="2" t="e">
        <f t="shared" si="0"/>
        <v>#REF!</v>
      </c>
      <c r="L4" s="2" t="e">
        <f t="shared" si="1"/>
        <v>#REF!</v>
      </c>
    </row>
    <row r="5" spans="1:12" x14ac:dyDescent="0.2">
      <c r="A5" s="23"/>
      <c r="B5" t="s">
        <v>24</v>
      </c>
      <c r="C5" s="2">
        <f>Inputs!C$3*Inputs!C$6*Inputs!C13</f>
        <v>0</v>
      </c>
      <c r="D5" s="2">
        <f>Inputs!D$3*Inputs!D$6*Inputs!D13</f>
        <v>0</v>
      </c>
      <c r="E5" s="2" t="e">
        <f>Inputs!#REF!*Inputs!#REF!*Inputs!#REF!</f>
        <v>#REF!</v>
      </c>
      <c r="F5" s="2">
        <f>Inputs!E$3*Inputs!E$6*Inputs!E13</f>
        <v>0</v>
      </c>
      <c r="G5" s="2">
        <f>Inputs!F$3*Inputs!F$6*Inputs!F13</f>
        <v>0</v>
      </c>
      <c r="H5" s="2">
        <f>Inputs!G$3*Inputs!G$6*Inputs!G13</f>
        <v>0</v>
      </c>
      <c r="J5" s="2" t="e">
        <f t="shared" si="0"/>
        <v>#REF!</v>
      </c>
      <c r="L5" s="2" t="e">
        <f t="shared" si="1"/>
        <v>#REF!</v>
      </c>
    </row>
    <row r="6" spans="1:12" x14ac:dyDescent="0.2">
      <c r="A6" s="23"/>
      <c r="B6" t="s">
        <v>25</v>
      </c>
      <c r="C6" s="2">
        <f>Inputs!C$3*Inputs!C$6*Inputs!C14</f>
        <v>0</v>
      </c>
      <c r="D6" s="2">
        <f>Inputs!D$3*Inputs!D$6*Inputs!D14</f>
        <v>0</v>
      </c>
      <c r="E6" s="2" t="e">
        <f>Inputs!#REF!*Inputs!#REF!*Inputs!#REF!</f>
        <v>#REF!</v>
      </c>
      <c r="F6" s="2">
        <f>Inputs!E$3*Inputs!E$6*Inputs!E14</f>
        <v>0</v>
      </c>
      <c r="G6" s="2">
        <f>Inputs!F$3*Inputs!F$6*Inputs!F14</f>
        <v>0</v>
      </c>
      <c r="H6" s="2">
        <f>Inputs!G$3*Inputs!G$6*Inputs!G14</f>
        <v>0</v>
      </c>
      <c r="J6" s="2" t="e">
        <f t="shared" si="0"/>
        <v>#REF!</v>
      </c>
      <c r="L6" s="2" t="e">
        <f t="shared" si="1"/>
        <v>#REF!</v>
      </c>
    </row>
    <row r="7" spans="1:12" x14ac:dyDescent="0.2">
      <c r="A7" s="23"/>
      <c r="B7" t="s">
        <v>42</v>
      </c>
      <c r="C7" s="2">
        <f t="shared" ref="C7" si="2">SUM(C2:C6)</f>
        <v>0</v>
      </c>
      <c r="D7" s="2">
        <f t="shared" ref="D7:H7" si="3">SUM(D2:D6)</f>
        <v>0</v>
      </c>
      <c r="E7" s="2" t="e">
        <f t="shared" ref="E7" si="4">SUM(E2:E6)</f>
        <v>#REF!</v>
      </c>
      <c r="F7" s="2">
        <f t="shared" si="3"/>
        <v>0</v>
      </c>
      <c r="G7" s="2">
        <f t="shared" si="3"/>
        <v>0</v>
      </c>
      <c r="H7" s="2">
        <f t="shared" si="3"/>
        <v>0</v>
      </c>
      <c r="J7" s="2" t="e">
        <f t="shared" si="0"/>
        <v>#REF!</v>
      </c>
      <c r="L7" s="2" t="e">
        <f t="shared" si="1"/>
        <v>#REF!</v>
      </c>
    </row>
    <row r="8" spans="1:12" x14ac:dyDescent="0.2">
      <c r="A8" s="23"/>
      <c r="B8" t="s">
        <v>85</v>
      </c>
      <c r="C8" s="3" t="e">
        <f>SUM(C2:C7)/SUM($C$2:$H$7)</f>
        <v>#REF!</v>
      </c>
      <c r="D8" s="3" t="e">
        <f t="shared" ref="D8:H8" si="5">SUM(D2:D7)/SUM($C$2:$H$7)</f>
        <v>#REF!</v>
      </c>
      <c r="E8" s="3" t="e">
        <f t="shared" si="5"/>
        <v>#REF!</v>
      </c>
      <c r="F8" s="3" t="e">
        <f t="shared" si="5"/>
        <v>#REF!</v>
      </c>
      <c r="G8" s="3" t="e">
        <f t="shared" si="5"/>
        <v>#REF!</v>
      </c>
      <c r="H8" s="3" t="e">
        <f t="shared" si="5"/>
        <v>#REF!</v>
      </c>
      <c r="J8" s="2"/>
      <c r="L8" s="2"/>
    </row>
    <row r="10" spans="1:12" s="29" customFormat="1" ht="16" thickBot="1" x14ac:dyDescent="0.25">
      <c r="B10" s="30" t="s">
        <v>86</v>
      </c>
      <c r="C10" s="30" t="s">
        <v>7</v>
      </c>
      <c r="D10" s="30" t="s">
        <v>8</v>
      </c>
      <c r="E10" s="30"/>
      <c r="F10" s="30" t="s">
        <v>9</v>
      </c>
      <c r="G10" s="30" t="s">
        <v>10</v>
      </c>
      <c r="H10" s="30"/>
    </row>
    <row r="11" spans="1:12" s="29" customFormat="1" ht="17" thickTop="1" thickBot="1" x14ac:dyDescent="0.25">
      <c r="B11" s="29" t="s">
        <v>87</v>
      </c>
      <c r="C11" s="31">
        <v>10</v>
      </c>
      <c r="F11" s="32"/>
    </row>
    <row r="12" spans="1:12" s="29" customFormat="1" ht="17" thickTop="1" thickBot="1" x14ac:dyDescent="0.25">
      <c r="B12" s="29" t="s">
        <v>21</v>
      </c>
      <c r="C12" s="31"/>
      <c r="F12" s="32"/>
    </row>
    <row r="13" spans="1:12" s="29" customFormat="1" ht="17" thickTop="1" thickBot="1" x14ac:dyDescent="0.25">
      <c r="B13" s="29" t="s">
        <v>22</v>
      </c>
      <c r="C13" s="31"/>
      <c r="F13" s="32"/>
    </row>
    <row r="14" spans="1:12" s="29" customFormat="1" ht="17" thickTop="1" thickBot="1" x14ac:dyDescent="0.25">
      <c r="B14" s="29" t="s">
        <v>23</v>
      </c>
      <c r="C14" s="31"/>
      <c r="F14" s="32"/>
    </row>
    <row r="15" spans="1:12" s="29" customFormat="1" ht="17" thickTop="1" thickBot="1" x14ac:dyDescent="0.25">
      <c r="B15" s="29" t="s">
        <v>24</v>
      </c>
      <c r="C15" s="31"/>
      <c r="F15" s="32"/>
    </row>
    <row r="16" spans="1:12" s="29" customFormat="1" ht="17" thickTop="1" thickBot="1" x14ac:dyDescent="0.25">
      <c r="B16" s="29" t="s">
        <v>25</v>
      </c>
      <c r="C16" s="31"/>
      <c r="F16" s="32"/>
    </row>
    <row r="17" spans="2:12" s="29" customFormat="1" ht="16" thickTop="1" x14ac:dyDescent="0.2"/>
    <row r="18" spans="2:12" s="29" customFormat="1" ht="16" thickBot="1" x14ac:dyDescent="0.25">
      <c r="B18" s="30" t="s">
        <v>88</v>
      </c>
      <c r="C18" s="30" t="s">
        <v>7</v>
      </c>
      <c r="D18" s="30" t="s">
        <v>8</v>
      </c>
      <c r="E18" s="30"/>
      <c r="F18" s="30" t="s">
        <v>9</v>
      </c>
      <c r="G18" s="30" t="s">
        <v>10</v>
      </c>
      <c r="H18" s="30"/>
    </row>
    <row r="19" spans="2:12" s="29" customFormat="1" ht="17" thickTop="1" thickBot="1" x14ac:dyDescent="0.25">
      <c r="B19" s="29" t="s">
        <v>87</v>
      </c>
      <c r="C19" s="31">
        <v>20</v>
      </c>
      <c r="F19" s="32"/>
    </row>
    <row r="20" spans="2:12" s="29" customFormat="1" ht="17" thickTop="1" thickBot="1" x14ac:dyDescent="0.25">
      <c r="B20" s="29" t="s">
        <v>21</v>
      </c>
      <c r="C20" s="31"/>
      <c r="F20" s="32"/>
    </row>
    <row r="21" spans="2:12" s="29" customFormat="1" ht="17" thickTop="1" thickBot="1" x14ac:dyDescent="0.25">
      <c r="B21" s="29" t="s">
        <v>22</v>
      </c>
      <c r="C21" s="31"/>
      <c r="F21" s="32"/>
    </row>
    <row r="22" spans="2:12" s="29" customFormat="1" ht="17" thickTop="1" thickBot="1" x14ac:dyDescent="0.25">
      <c r="B22" s="29" t="s">
        <v>23</v>
      </c>
      <c r="C22" s="31"/>
      <c r="F22" s="32"/>
    </row>
    <row r="23" spans="2:12" s="29" customFormat="1" ht="17" thickTop="1" thickBot="1" x14ac:dyDescent="0.25">
      <c r="B23" s="29" t="s">
        <v>24</v>
      </c>
      <c r="C23" s="31"/>
      <c r="F23" s="32"/>
    </row>
    <row r="24" spans="2:12" s="29" customFormat="1" ht="17" thickTop="1" thickBot="1" x14ac:dyDescent="0.25">
      <c r="B24" s="29" t="s">
        <v>25</v>
      </c>
      <c r="C24" s="31"/>
      <c r="F24" s="32"/>
    </row>
    <row r="25" spans="2:12" s="29" customFormat="1" ht="16" thickTop="1" x14ac:dyDescent="0.2"/>
    <row r="26" spans="2:12" s="29" customFormat="1" x14ac:dyDescent="0.2"/>
    <row r="27" spans="2:12" s="29" customFormat="1" x14ac:dyDescent="0.2"/>
    <row r="28" spans="2:12" s="29" customFormat="1" ht="16" thickBot="1" x14ac:dyDescent="0.25">
      <c r="B28" s="30" t="s">
        <v>28</v>
      </c>
      <c r="C28" s="30" t="s">
        <v>89</v>
      </c>
      <c r="D28" s="30"/>
      <c r="E28" s="30"/>
      <c r="F28" s="30" t="s">
        <v>29</v>
      </c>
      <c r="G28" s="30"/>
      <c r="H28" s="30"/>
    </row>
    <row r="29" spans="2:12" s="29" customFormat="1" ht="17" thickTop="1" thickBot="1" x14ac:dyDescent="0.25">
      <c r="B29" s="29" t="s">
        <v>87</v>
      </c>
      <c r="C29" s="31">
        <f>C11*C19</f>
        <v>200</v>
      </c>
      <c r="F29" s="32"/>
    </row>
    <row r="30" spans="2:12" s="29" customFormat="1" ht="17" thickTop="1" thickBot="1" x14ac:dyDescent="0.25">
      <c r="B30" s="29" t="s">
        <v>21</v>
      </c>
      <c r="C30" s="31"/>
      <c r="F30" s="32"/>
      <c r="J30" s="33">
        <f>C30*F30</f>
        <v>0</v>
      </c>
      <c r="L30" s="33">
        <f t="shared" ref="L30:L34" si="6">J30/4*52</f>
        <v>0</v>
      </c>
    </row>
    <row r="31" spans="2:12" s="29" customFormat="1" ht="17" thickTop="1" thickBot="1" x14ac:dyDescent="0.25">
      <c r="B31" s="29" t="s">
        <v>22</v>
      </c>
      <c r="C31" s="31"/>
      <c r="F31" s="32"/>
      <c r="J31" s="33">
        <f>C31*F31</f>
        <v>0</v>
      </c>
      <c r="L31" s="33">
        <f t="shared" si="6"/>
        <v>0</v>
      </c>
    </row>
    <row r="32" spans="2:12" s="29" customFormat="1" ht="17" thickTop="1" thickBot="1" x14ac:dyDescent="0.25">
      <c r="B32" s="29" t="s">
        <v>23</v>
      </c>
      <c r="C32" s="31"/>
      <c r="F32" s="32"/>
      <c r="J32" s="33">
        <f>C32*F32</f>
        <v>0</v>
      </c>
      <c r="L32" s="33">
        <f t="shared" si="6"/>
        <v>0</v>
      </c>
    </row>
    <row r="33" spans="2:12" s="29" customFormat="1" ht="17" thickTop="1" thickBot="1" x14ac:dyDescent="0.25">
      <c r="B33" s="29" t="s">
        <v>24</v>
      </c>
      <c r="C33" s="31"/>
      <c r="F33" s="32"/>
      <c r="J33" s="33">
        <f>C33*F33</f>
        <v>0</v>
      </c>
      <c r="L33" s="33">
        <f t="shared" si="6"/>
        <v>0</v>
      </c>
    </row>
    <row r="34" spans="2:12" s="29" customFormat="1" ht="17" thickTop="1" thickBot="1" x14ac:dyDescent="0.25">
      <c r="B34" s="29" t="s">
        <v>25</v>
      </c>
      <c r="C34" s="31"/>
      <c r="F34" s="32"/>
      <c r="J34" s="33">
        <f>C34*F34</f>
        <v>0</v>
      </c>
      <c r="L34" s="33">
        <f t="shared" si="6"/>
        <v>0</v>
      </c>
    </row>
    <row r="35" spans="2:12" s="29" customFormat="1" ht="16" thickTop="1" x14ac:dyDescent="0.2"/>
    <row r="36" spans="2:12" s="29" customFormat="1" x14ac:dyDescent="0.2"/>
    <row r="37" spans="2:12" x14ac:dyDescent="0.2">
      <c r="B37" s="9" t="s">
        <v>90</v>
      </c>
      <c r="C37" s="9" t="s">
        <v>7</v>
      </c>
      <c r="D37" s="9" t="s">
        <v>8</v>
      </c>
      <c r="E37" s="9" t="s">
        <v>82</v>
      </c>
      <c r="F37" s="9" t="s">
        <v>9</v>
      </c>
      <c r="G37" s="9" t="s">
        <v>10</v>
      </c>
      <c r="H37" s="9" t="s">
        <v>11</v>
      </c>
    </row>
    <row r="38" spans="2:12" x14ac:dyDescent="0.2">
      <c r="B38" t="s">
        <v>21</v>
      </c>
      <c r="C38" s="25">
        <f>Inputs!C$7*Inputs!C10*Inputs!$C25</f>
        <v>0</v>
      </c>
      <c r="D38" s="25">
        <f>Inputs!D$7*Inputs!D10*Inputs!$C25</f>
        <v>0</v>
      </c>
      <c r="E38" s="25" t="e">
        <f>Inputs!#REF!*Inputs!#REF!*Inputs!$C25</f>
        <v>#REF!</v>
      </c>
      <c r="F38" s="25">
        <f>Inputs!E$7*Inputs!E10*Inputs!$C25</f>
        <v>0</v>
      </c>
      <c r="G38" s="25">
        <f>Inputs!F$7*Inputs!F10*Inputs!$C25</f>
        <v>0</v>
      </c>
      <c r="H38" s="25">
        <f>Inputs!G$7*Inputs!G10*Inputs!$C25</f>
        <v>0</v>
      </c>
    </row>
    <row r="39" spans="2:12" x14ac:dyDescent="0.2">
      <c r="B39" t="s">
        <v>22</v>
      </c>
      <c r="C39" s="25">
        <f>Inputs!C$7*Inputs!C11*Inputs!$C26</f>
        <v>0</v>
      </c>
      <c r="D39" s="25">
        <f>Inputs!D$7*Inputs!D11*Inputs!$C26</f>
        <v>0</v>
      </c>
      <c r="E39" s="25" t="e">
        <f>Inputs!#REF!*Inputs!#REF!*Inputs!$C26</f>
        <v>#REF!</v>
      </c>
      <c r="F39" s="25">
        <f>Inputs!E$7*Inputs!E11*Inputs!$C26</f>
        <v>0</v>
      </c>
      <c r="G39" s="25">
        <f>Inputs!F$7*Inputs!F11*Inputs!$C26</f>
        <v>0</v>
      </c>
      <c r="H39" s="25">
        <f>Inputs!G$7*Inputs!G11*Inputs!$C26</f>
        <v>0</v>
      </c>
    </row>
    <row r="40" spans="2:12" x14ac:dyDescent="0.2">
      <c r="B40" t="s">
        <v>23</v>
      </c>
      <c r="C40" s="25">
        <f>Inputs!C$7*Inputs!C12*Inputs!$C27</f>
        <v>0</v>
      </c>
      <c r="D40" s="25">
        <f>Inputs!D$7*Inputs!D12*Inputs!$C27</f>
        <v>0</v>
      </c>
      <c r="E40" s="25" t="e">
        <f>Inputs!#REF!*Inputs!#REF!*Inputs!$C27</f>
        <v>#REF!</v>
      </c>
      <c r="F40" s="25">
        <f>Inputs!E$7*Inputs!E12*Inputs!$C27</f>
        <v>0</v>
      </c>
      <c r="G40" s="25">
        <f>Inputs!F$7*Inputs!F12*Inputs!$C27</f>
        <v>0</v>
      </c>
      <c r="H40" s="25">
        <f>Inputs!G$7*Inputs!G12*Inputs!$C27</f>
        <v>0</v>
      </c>
    </row>
    <row r="41" spans="2:12" x14ac:dyDescent="0.2">
      <c r="B41" t="s">
        <v>24</v>
      </c>
      <c r="C41" s="25">
        <f>Inputs!C$7*Inputs!C13*Inputs!$C28</f>
        <v>0</v>
      </c>
      <c r="D41" s="25">
        <f>Inputs!D$7*Inputs!D13*Inputs!$C28</f>
        <v>0</v>
      </c>
      <c r="E41" s="25" t="e">
        <f>Inputs!#REF!*Inputs!#REF!*Inputs!$C28</f>
        <v>#REF!</v>
      </c>
      <c r="F41" s="25">
        <f>Inputs!E$7*Inputs!E13*Inputs!$C28</f>
        <v>0</v>
      </c>
      <c r="G41" s="25">
        <f>Inputs!F$7*Inputs!F13*Inputs!$C28</f>
        <v>0</v>
      </c>
      <c r="H41" s="25">
        <f>Inputs!G$7*Inputs!G13*Inputs!$C28</f>
        <v>0</v>
      </c>
    </row>
    <row r="42" spans="2:12" x14ac:dyDescent="0.2">
      <c r="B42" t="s">
        <v>25</v>
      </c>
      <c r="C42" s="25">
        <f>Inputs!C$7*Inputs!C14*Inputs!$C29</f>
        <v>0</v>
      </c>
      <c r="D42" s="25">
        <f>Inputs!D$7*Inputs!D14*Inputs!$C29</f>
        <v>0</v>
      </c>
      <c r="E42" s="25" t="e">
        <f>Inputs!#REF!*Inputs!#REF!*Inputs!$C29</f>
        <v>#REF!</v>
      </c>
      <c r="F42" s="25">
        <f>Inputs!E$7*Inputs!E14*Inputs!$C29</f>
        <v>0</v>
      </c>
      <c r="G42" s="25">
        <f>Inputs!F$7*Inputs!F14*Inputs!$C29</f>
        <v>0</v>
      </c>
      <c r="H42" s="25">
        <f>Inputs!G$7*Inputs!G14*Inputs!$C29</f>
        <v>0</v>
      </c>
    </row>
    <row r="44" spans="2:12" ht="16" thickBot="1" x14ac:dyDescent="0.25">
      <c r="B44" s="12" t="s">
        <v>91</v>
      </c>
    </row>
    <row r="45" spans="2:12" ht="17" thickTop="1" thickBot="1" x14ac:dyDescent="0.25">
      <c r="B45" t="s">
        <v>21</v>
      </c>
      <c r="C45" s="6"/>
      <c r="D45" s="6"/>
      <c r="E45" s="6"/>
      <c r="F45" s="6"/>
      <c r="G45" s="6"/>
      <c r="H45" s="28"/>
      <c r="J45" s="5"/>
      <c r="L45" s="5"/>
    </row>
    <row r="46" spans="2:12" ht="17" thickTop="1" thickBot="1" x14ac:dyDescent="0.25">
      <c r="B46" s="12" t="s">
        <v>22</v>
      </c>
      <c r="C46" s="6"/>
      <c r="D46" s="6"/>
      <c r="E46" s="6"/>
      <c r="F46" s="6"/>
      <c r="G46" s="6"/>
      <c r="H46" s="28"/>
      <c r="J46" s="5"/>
      <c r="L46" s="5"/>
    </row>
    <row r="47" spans="2:12" ht="17" thickTop="1" thickBot="1" x14ac:dyDescent="0.25">
      <c r="B47" t="s">
        <v>23</v>
      </c>
      <c r="C47" s="6"/>
      <c r="D47" s="6"/>
      <c r="E47" s="6"/>
      <c r="F47" s="6"/>
      <c r="G47" s="6"/>
      <c r="H47" s="28"/>
      <c r="J47" s="5"/>
      <c r="L47" s="5"/>
    </row>
    <row r="48" spans="2:12" ht="17" thickTop="1" thickBot="1" x14ac:dyDescent="0.25">
      <c r="B48" s="12" t="s">
        <v>24</v>
      </c>
      <c r="C48" s="6"/>
      <c r="D48" s="6"/>
      <c r="E48" s="6"/>
      <c r="F48" s="6"/>
      <c r="G48" s="6"/>
      <c r="H48" s="28"/>
      <c r="J48" s="5"/>
      <c r="L48" s="5"/>
    </row>
    <row r="49" spans="1:12" ht="17" thickTop="1" thickBot="1" x14ac:dyDescent="0.25">
      <c r="B49" t="s">
        <v>25</v>
      </c>
      <c r="C49" s="6"/>
      <c r="D49" s="6"/>
      <c r="E49" s="6"/>
      <c r="F49" s="6"/>
      <c r="G49" s="6"/>
      <c r="H49" s="28"/>
      <c r="J49" s="5"/>
      <c r="L49" s="5"/>
    </row>
    <row r="50" spans="1:12" s="11" customFormat="1" ht="17" thickTop="1" thickBot="1" x14ac:dyDescent="0.25">
      <c r="A50" s="21"/>
      <c r="B50" s="9" t="s">
        <v>27</v>
      </c>
      <c r="I50"/>
    </row>
    <row r="51" spans="1:12" ht="17" thickTop="1" thickBot="1" x14ac:dyDescent="0.25">
      <c r="B51" s="12" t="s">
        <v>21</v>
      </c>
      <c r="C51" s="6">
        <v>0.35</v>
      </c>
      <c r="D51" s="6">
        <v>0.45</v>
      </c>
      <c r="E51" s="6"/>
      <c r="F51" s="6">
        <v>0.25</v>
      </c>
      <c r="G51" s="6">
        <v>0</v>
      </c>
      <c r="H51" s="28"/>
      <c r="J51" s="5"/>
      <c r="L51" s="5"/>
    </row>
    <row r="52" spans="1:12" ht="17" thickTop="1" thickBot="1" x14ac:dyDescent="0.25">
      <c r="B52" t="s">
        <v>22</v>
      </c>
      <c r="C52" s="6">
        <v>0.35</v>
      </c>
      <c r="D52" s="6"/>
      <c r="E52" s="6"/>
      <c r="F52" s="6"/>
      <c r="G52" s="6"/>
      <c r="H52" s="28"/>
      <c r="J52" s="5"/>
      <c r="L52" s="5"/>
    </row>
    <row r="53" spans="1:12" ht="17" thickTop="1" thickBot="1" x14ac:dyDescent="0.25">
      <c r="B53" s="12" t="s">
        <v>23</v>
      </c>
      <c r="C53" s="6"/>
      <c r="D53" s="6"/>
      <c r="E53" s="6"/>
      <c r="F53" s="6"/>
      <c r="G53" s="6"/>
      <c r="H53" s="28"/>
      <c r="J53" s="5"/>
      <c r="L53" s="5"/>
    </row>
    <row r="54" spans="1:12" ht="17" thickTop="1" thickBot="1" x14ac:dyDescent="0.25">
      <c r="B54" t="s">
        <v>24</v>
      </c>
      <c r="C54" s="6"/>
      <c r="D54" s="6"/>
      <c r="E54" s="6"/>
      <c r="F54" s="6"/>
      <c r="G54" s="6"/>
      <c r="H54" s="28"/>
      <c r="J54" s="5"/>
      <c r="L54" s="5"/>
    </row>
    <row r="55" spans="1:12" ht="17" thickTop="1" thickBot="1" x14ac:dyDescent="0.25">
      <c r="B55" s="12" t="s">
        <v>25</v>
      </c>
      <c r="C55" s="6"/>
      <c r="D55" s="6"/>
      <c r="E55" s="6"/>
      <c r="F55" s="6"/>
      <c r="G55" s="6"/>
      <c r="H55" s="28"/>
      <c r="J55" s="5"/>
      <c r="L55" s="5"/>
    </row>
    <row r="56" spans="1:12" ht="16" thickTop="1" x14ac:dyDescent="0.2"/>
    <row r="57" spans="1:12" x14ac:dyDescent="0.2">
      <c r="B57" s="12" t="s">
        <v>92</v>
      </c>
      <c r="C57" s="12"/>
      <c r="D57" s="12"/>
      <c r="E57" s="12"/>
      <c r="F57" s="12"/>
      <c r="G57" s="12"/>
      <c r="H57" s="12"/>
      <c r="J57" s="2">
        <f>SUM(J30:J34)</f>
        <v>0</v>
      </c>
      <c r="L57" s="2">
        <f>SUM(L30:L34)</f>
        <v>0</v>
      </c>
    </row>
    <row r="58" spans="1:12" x14ac:dyDescent="0.2">
      <c r="J58" s="8"/>
      <c r="L58" s="8"/>
    </row>
    <row r="59" spans="1:12" x14ac:dyDescent="0.2">
      <c r="B59" t="s">
        <v>93</v>
      </c>
      <c r="J59" s="8"/>
      <c r="L59" s="8"/>
    </row>
    <row r="60" spans="1:12" x14ac:dyDescent="0.2">
      <c r="B60" t="s">
        <v>21</v>
      </c>
      <c r="C60" s="8" t="e">
        <f>(#REF!*C38)+(C2*C45)</f>
        <v>#REF!</v>
      </c>
      <c r="D60" s="8" t="e">
        <f>(#REF!*D38)+(D2*D45)</f>
        <v>#REF!</v>
      </c>
      <c r="E60" s="8"/>
      <c r="F60" s="8" t="e">
        <f>(#REF!*F38)+(F2*F45)</f>
        <v>#REF!</v>
      </c>
      <c r="G60" s="8" t="e">
        <f>(#REF!*G38)+(G2*G45)</f>
        <v>#REF!</v>
      </c>
      <c r="H60" s="8"/>
      <c r="J60" s="2" t="e">
        <f>SUM(C60:G60)</f>
        <v>#REF!</v>
      </c>
      <c r="L60" s="2" t="e">
        <f t="shared" ref="L60:L64" si="7">J60/4*52</f>
        <v>#REF!</v>
      </c>
    </row>
    <row r="61" spans="1:12" x14ac:dyDescent="0.2">
      <c r="B61" t="s">
        <v>22</v>
      </c>
      <c r="C61" s="8" t="e">
        <f>(#REF!*C39)+(C3*C46)</f>
        <v>#REF!</v>
      </c>
      <c r="D61" s="8" t="e">
        <f>(#REF!*D39)+(D3*D46)</f>
        <v>#REF!</v>
      </c>
      <c r="E61" s="8"/>
      <c r="F61" s="8" t="e">
        <f>(#REF!*F39)+(F3*F46)</f>
        <v>#REF!</v>
      </c>
      <c r="G61" s="8" t="e">
        <f>(#REF!*G39)+(G3*G46)</f>
        <v>#REF!</v>
      </c>
      <c r="H61" s="8"/>
      <c r="J61" s="2" t="e">
        <f>SUM(C61:G61)</f>
        <v>#REF!</v>
      </c>
      <c r="L61" s="2" t="e">
        <f t="shared" si="7"/>
        <v>#REF!</v>
      </c>
    </row>
    <row r="62" spans="1:12" x14ac:dyDescent="0.2">
      <c r="B62" t="s">
        <v>23</v>
      </c>
      <c r="C62" s="8" t="e">
        <f>(#REF!*C40)+(C4*C47)</f>
        <v>#REF!</v>
      </c>
      <c r="D62" s="8" t="e">
        <f>(#REF!*D40)+(D4*D47)</f>
        <v>#REF!</v>
      </c>
      <c r="E62" s="8"/>
      <c r="F62" s="8" t="e">
        <f>(#REF!*F40)+(F4*F47)</f>
        <v>#REF!</v>
      </c>
      <c r="G62" s="8" t="e">
        <f>(#REF!*G40)+(G4*G47)</f>
        <v>#REF!</v>
      </c>
      <c r="H62" s="8"/>
      <c r="J62" s="2" t="e">
        <f>SUM(C62:G62)</f>
        <v>#REF!</v>
      </c>
      <c r="L62" s="2" t="e">
        <f t="shared" si="7"/>
        <v>#REF!</v>
      </c>
    </row>
    <row r="63" spans="1:12" x14ac:dyDescent="0.2">
      <c r="B63" t="s">
        <v>24</v>
      </c>
      <c r="C63" s="8" t="e">
        <f>(#REF!*C41)+(C5*C48)</f>
        <v>#REF!</v>
      </c>
      <c r="D63" s="8" t="e">
        <f>(#REF!*D41)+(D5*D48)</f>
        <v>#REF!</v>
      </c>
      <c r="E63" s="8"/>
      <c r="F63" s="8" t="e">
        <f>(#REF!*F41)+(F5*F48)</f>
        <v>#REF!</v>
      </c>
      <c r="G63" s="8" t="e">
        <f>(#REF!*G41)+(G5*G48)</f>
        <v>#REF!</v>
      </c>
      <c r="H63" s="8"/>
      <c r="J63" s="2" t="e">
        <f>SUM(C63:G63)</f>
        <v>#REF!</v>
      </c>
      <c r="L63" s="2" t="e">
        <f t="shared" si="7"/>
        <v>#REF!</v>
      </c>
    </row>
    <row r="64" spans="1:12" x14ac:dyDescent="0.2">
      <c r="B64" t="s">
        <v>25</v>
      </c>
      <c r="C64" s="8" t="e">
        <f>(#REF!*C42)+(C6*C49)</f>
        <v>#REF!</v>
      </c>
      <c r="D64" s="8" t="e">
        <f>(#REF!*D42)+(D6*D49)</f>
        <v>#REF!</v>
      </c>
      <c r="E64" s="8"/>
      <c r="F64" s="8" t="e">
        <f>(#REF!*F42)+(F6*F49)</f>
        <v>#REF!</v>
      </c>
      <c r="G64" s="8" t="e">
        <f>(#REF!*G42)+(G6*G49)</f>
        <v>#REF!</v>
      </c>
      <c r="H64" s="8"/>
      <c r="J64" s="2" t="e">
        <f>SUM(C64:G64)</f>
        <v>#REF!</v>
      </c>
      <c r="L64" s="2" t="e">
        <f t="shared" si="7"/>
        <v>#REF!</v>
      </c>
    </row>
    <row r="65" spans="2:12" x14ac:dyDescent="0.2">
      <c r="B65" t="s">
        <v>94</v>
      </c>
      <c r="C65" s="2" t="e">
        <f>SUM(C60:C64)</f>
        <v>#REF!</v>
      </c>
      <c r="D65" s="2" t="e">
        <f t="shared" ref="D65:J65" si="8">SUM(D60:D64)</f>
        <v>#REF!</v>
      </c>
      <c r="E65" s="2"/>
      <c r="F65" s="2" t="e">
        <f t="shared" si="8"/>
        <v>#REF!</v>
      </c>
      <c r="G65" s="2" t="e">
        <f t="shared" si="8"/>
        <v>#REF!</v>
      </c>
      <c r="H65" s="2"/>
      <c r="J65" s="2" t="e">
        <f t="shared" si="8"/>
        <v>#REF!</v>
      </c>
      <c r="L65" s="2" t="e">
        <f t="shared" ref="L65:L73" si="9">J65/4*52</f>
        <v>#REF!</v>
      </c>
    </row>
    <row r="66" spans="2:12" x14ac:dyDescent="0.2">
      <c r="C66" s="2"/>
      <c r="D66" s="2"/>
      <c r="E66" s="2"/>
      <c r="F66" s="2"/>
      <c r="G66" s="2"/>
      <c r="H66" s="2"/>
      <c r="J66" s="2"/>
      <c r="L66" s="2"/>
    </row>
    <row r="67" spans="2:12" x14ac:dyDescent="0.2">
      <c r="B67" t="s">
        <v>95</v>
      </c>
      <c r="C67" s="2"/>
      <c r="D67" s="2"/>
      <c r="E67" s="2"/>
      <c r="F67" s="2"/>
      <c r="G67" s="2"/>
      <c r="H67" s="2"/>
      <c r="J67" s="2"/>
      <c r="L67" s="2"/>
    </row>
    <row r="68" spans="2:12" x14ac:dyDescent="0.2">
      <c r="B68" t="s">
        <v>21</v>
      </c>
      <c r="C68" s="2">
        <f t="shared" ref="C68:G72" si="10">C2*C51</f>
        <v>0</v>
      </c>
      <c r="D68" s="2">
        <f t="shared" si="10"/>
        <v>0</v>
      </c>
      <c r="E68" s="2"/>
      <c r="F68" s="2">
        <f t="shared" si="10"/>
        <v>0</v>
      </c>
      <c r="G68" s="2">
        <f t="shared" si="10"/>
        <v>0</v>
      </c>
      <c r="H68" s="2"/>
      <c r="J68" s="2">
        <f>SUM(C68:G68)</f>
        <v>0</v>
      </c>
      <c r="L68" s="2">
        <f t="shared" si="9"/>
        <v>0</v>
      </c>
    </row>
    <row r="69" spans="2:12" x14ac:dyDescent="0.2">
      <c r="B69" t="s">
        <v>22</v>
      </c>
      <c r="C69" s="2">
        <f t="shared" si="10"/>
        <v>0</v>
      </c>
      <c r="D69" s="2">
        <f t="shared" si="10"/>
        <v>0</v>
      </c>
      <c r="E69" s="2"/>
      <c r="F69" s="2">
        <f t="shared" si="10"/>
        <v>0</v>
      </c>
      <c r="G69" s="2">
        <f t="shared" si="10"/>
        <v>0</v>
      </c>
      <c r="H69" s="2"/>
      <c r="J69" s="2">
        <f>SUM(C69:G69)</f>
        <v>0</v>
      </c>
      <c r="L69" s="2">
        <f t="shared" si="9"/>
        <v>0</v>
      </c>
    </row>
    <row r="70" spans="2:12" x14ac:dyDescent="0.2">
      <c r="B70" t="s">
        <v>23</v>
      </c>
      <c r="C70" s="2">
        <f t="shared" si="10"/>
        <v>0</v>
      </c>
      <c r="D70" s="2">
        <f t="shared" si="10"/>
        <v>0</v>
      </c>
      <c r="E70" s="2"/>
      <c r="F70" s="2">
        <f t="shared" si="10"/>
        <v>0</v>
      </c>
      <c r="G70" s="2">
        <f t="shared" si="10"/>
        <v>0</v>
      </c>
      <c r="H70" s="2"/>
      <c r="J70" s="2">
        <f>SUM(C70:G70)</f>
        <v>0</v>
      </c>
      <c r="L70" s="2">
        <f t="shared" si="9"/>
        <v>0</v>
      </c>
    </row>
    <row r="71" spans="2:12" x14ac:dyDescent="0.2">
      <c r="B71" t="s">
        <v>24</v>
      </c>
      <c r="C71" s="2">
        <f t="shared" si="10"/>
        <v>0</v>
      </c>
      <c r="D71" s="2">
        <f t="shared" si="10"/>
        <v>0</v>
      </c>
      <c r="E71" s="2"/>
      <c r="F71" s="2">
        <f t="shared" si="10"/>
        <v>0</v>
      </c>
      <c r="G71" s="2">
        <f t="shared" si="10"/>
        <v>0</v>
      </c>
      <c r="H71" s="2"/>
      <c r="J71" s="2">
        <f>SUM(C71:G71)</f>
        <v>0</v>
      </c>
      <c r="L71" s="2">
        <f t="shared" si="9"/>
        <v>0</v>
      </c>
    </row>
    <row r="72" spans="2:12" x14ac:dyDescent="0.2">
      <c r="B72" t="s">
        <v>25</v>
      </c>
      <c r="C72" s="2">
        <f t="shared" si="10"/>
        <v>0</v>
      </c>
      <c r="D72" s="2">
        <f t="shared" si="10"/>
        <v>0</v>
      </c>
      <c r="E72" s="2"/>
      <c r="F72" s="2">
        <f t="shared" si="10"/>
        <v>0</v>
      </c>
      <c r="G72" s="2">
        <f t="shared" si="10"/>
        <v>0</v>
      </c>
      <c r="H72" s="2"/>
      <c r="J72" s="2">
        <f>SUM(C72:G72)</f>
        <v>0</v>
      </c>
      <c r="L72" s="2">
        <f t="shared" si="9"/>
        <v>0</v>
      </c>
    </row>
    <row r="73" spans="2:12" x14ac:dyDescent="0.2">
      <c r="B73" t="s">
        <v>96</v>
      </c>
      <c r="C73" s="2">
        <f>SUM(C68:C72)</f>
        <v>0</v>
      </c>
      <c r="D73" s="2">
        <f t="shared" ref="D73" si="11">SUM(D68:D72)</f>
        <v>0</v>
      </c>
      <c r="E73" s="2"/>
      <c r="F73" s="2">
        <f t="shared" ref="F73" si="12">SUM(F68:F72)</f>
        <v>0</v>
      </c>
      <c r="G73" s="2">
        <f t="shared" ref="G73" si="13">SUM(G68:G72)</f>
        <v>0</v>
      </c>
      <c r="H73" s="2"/>
      <c r="J73" s="2">
        <f t="shared" ref="J73" si="14">SUM(J68:J72)</f>
        <v>0</v>
      </c>
      <c r="L73" s="2">
        <f t="shared" si="9"/>
        <v>0</v>
      </c>
    </row>
    <row r="75" spans="2:12" x14ac:dyDescent="0.2">
      <c r="B75" t="s">
        <v>97</v>
      </c>
      <c r="C75" s="72" t="s">
        <v>98</v>
      </c>
      <c r="D75" s="72"/>
      <c r="E75" s="72"/>
      <c r="F75" s="72"/>
      <c r="G75" s="72"/>
      <c r="H75" s="24"/>
    </row>
    <row r="76" spans="2:12" x14ac:dyDescent="0.2">
      <c r="B76" t="s">
        <v>21</v>
      </c>
      <c r="C76" s="4" t="e">
        <f>C60+C68</f>
        <v>#REF!</v>
      </c>
      <c r="D76" s="4" t="e">
        <f t="shared" ref="D76:G76" si="15">D60+D68</f>
        <v>#REF!</v>
      </c>
      <c r="E76" s="4"/>
      <c r="F76" s="4" t="e">
        <f t="shared" si="15"/>
        <v>#REF!</v>
      </c>
      <c r="G76" s="4" t="e">
        <f t="shared" si="15"/>
        <v>#REF!</v>
      </c>
      <c r="H76" s="4"/>
      <c r="J76" s="2" t="e">
        <f>J30+J60+J68</f>
        <v>#REF!</v>
      </c>
      <c r="L76" s="2" t="e">
        <f>L30+L60+L68</f>
        <v>#REF!</v>
      </c>
    </row>
    <row r="77" spans="2:12" x14ac:dyDescent="0.2">
      <c r="B77" t="s">
        <v>22</v>
      </c>
      <c r="C77" s="4" t="e">
        <f t="shared" ref="C77:G80" si="16">C61+C69</f>
        <v>#REF!</v>
      </c>
      <c r="D77" s="4" t="e">
        <f t="shared" si="16"/>
        <v>#REF!</v>
      </c>
      <c r="E77" s="4"/>
      <c r="F77" s="4" t="e">
        <f t="shared" si="16"/>
        <v>#REF!</v>
      </c>
      <c r="G77" s="4" t="e">
        <f t="shared" si="16"/>
        <v>#REF!</v>
      </c>
      <c r="H77" s="4"/>
      <c r="J77" s="2" t="e">
        <f>J31+J61+J69</f>
        <v>#REF!</v>
      </c>
      <c r="L77" s="2" t="e">
        <f>L31+L61+L69</f>
        <v>#REF!</v>
      </c>
    </row>
    <row r="78" spans="2:12" x14ac:dyDescent="0.2">
      <c r="B78" t="s">
        <v>23</v>
      </c>
      <c r="C78" s="4" t="e">
        <f t="shared" si="16"/>
        <v>#REF!</v>
      </c>
      <c r="D78" s="4" t="e">
        <f t="shared" si="16"/>
        <v>#REF!</v>
      </c>
      <c r="E78" s="4"/>
      <c r="F78" s="4" t="e">
        <f t="shared" si="16"/>
        <v>#REF!</v>
      </c>
      <c r="G78" s="4" t="e">
        <f t="shared" si="16"/>
        <v>#REF!</v>
      </c>
      <c r="H78" s="4"/>
      <c r="J78" s="2" t="e">
        <f>J32+J62+J70</f>
        <v>#REF!</v>
      </c>
      <c r="L78" s="2" t="e">
        <f>L32+L62+L70</f>
        <v>#REF!</v>
      </c>
    </row>
    <row r="79" spans="2:12" x14ac:dyDescent="0.2">
      <c r="B79" t="s">
        <v>24</v>
      </c>
      <c r="C79" s="4" t="e">
        <f t="shared" si="16"/>
        <v>#REF!</v>
      </c>
      <c r="D79" s="4" t="e">
        <f t="shared" si="16"/>
        <v>#REF!</v>
      </c>
      <c r="E79" s="4"/>
      <c r="F79" s="4" t="e">
        <f t="shared" si="16"/>
        <v>#REF!</v>
      </c>
      <c r="G79" s="4" t="e">
        <f t="shared" si="16"/>
        <v>#REF!</v>
      </c>
      <c r="H79" s="4"/>
      <c r="J79" s="2" t="e">
        <f>J33+J63+J71</f>
        <v>#REF!</v>
      </c>
      <c r="L79" s="2" t="e">
        <f>L33+L63+L71</f>
        <v>#REF!</v>
      </c>
    </row>
    <row r="80" spans="2:12" x14ac:dyDescent="0.2">
      <c r="B80" t="s">
        <v>25</v>
      </c>
      <c r="C80" s="4" t="e">
        <f t="shared" si="16"/>
        <v>#REF!</v>
      </c>
      <c r="D80" s="4" t="e">
        <f t="shared" si="16"/>
        <v>#REF!</v>
      </c>
      <c r="E80" s="4"/>
      <c r="F80" s="4" t="e">
        <f t="shared" si="16"/>
        <v>#REF!</v>
      </c>
      <c r="G80" s="4" t="e">
        <f t="shared" si="16"/>
        <v>#REF!</v>
      </c>
      <c r="H80" s="4"/>
      <c r="J80" s="2" t="e">
        <f>J34+J64+J72</f>
        <v>#REF!</v>
      </c>
      <c r="L80" s="2" t="e">
        <f>L34+L64+L72</f>
        <v>#REF!</v>
      </c>
    </row>
    <row r="81" spans="2:12" x14ac:dyDescent="0.2">
      <c r="B81" t="s">
        <v>97</v>
      </c>
      <c r="C81" s="2" t="e">
        <f>SUM(C76:C80)</f>
        <v>#REF!</v>
      </c>
      <c r="D81" s="2" t="e">
        <f t="shared" ref="D81" si="17">SUM(D76:D80)</f>
        <v>#REF!</v>
      </c>
      <c r="E81" s="2"/>
      <c r="F81" s="2" t="e">
        <f t="shared" ref="F81" si="18">SUM(F76:F80)</f>
        <v>#REF!</v>
      </c>
      <c r="G81" s="2" t="e">
        <f t="shared" ref="G81" si="19">SUM(G76:G80)</f>
        <v>#REF!</v>
      </c>
      <c r="H81" s="2"/>
      <c r="J81" s="2" t="e">
        <f t="shared" ref="J81:L81" si="20">SUM(J76:J80)</f>
        <v>#REF!</v>
      </c>
      <c r="L81" s="2" t="e">
        <f t="shared" si="20"/>
        <v>#REF!</v>
      </c>
    </row>
    <row r="83" spans="2:12" x14ac:dyDescent="0.2">
      <c r="B83" t="s">
        <v>36</v>
      </c>
    </row>
    <row r="84" spans="2:12" x14ac:dyDescent="0.2">
      <c r="B84" t="s">
        <v>21</v>
      </c>
      <c r="C84" s="2" t="e">
        <f t="shared" ref="C84:G89" si="21">C2-C76</f>
        <v>#REF!</v>
      </c>
      <c r="D84" s="2" t="e">
        <f t="shared" si="21"/>
        <v>#REF!</v>
      </c>
      <c r="E84" s="2"/>
      <c r="F84" s="2" t="e">
        <f t="shared" si="21"/>
        <v>#REF!</v>
      </c>
      <c r="G84" s="2" t="e">
        <f t="shared" si="21"/>
        <v>#REF!</v>
      </c>
      <c r="H84" s="2"/>
      <c r="J84" s="2" t="e">
        <f t="shared" ref="J84:J89" si="22">J2-J76</f>
        <v>#REF!</v>
      </c>
      <c r="L84" s="2" t="e">
        <f t="shared" ref="L84:L89" si="23">L2-L76</f>
        <v>#REF!</v>
      </c>
    </row>
    <row r="85" spans="2:12" x14ac:dyDescent="0.2">
      <c r="B85" t="s">
        <v>22</v>
      </c>
      <c r="C85" s="2" t="e">
        <f t="shared" si="21"/>
        <v>#REF!</v>
      </c>
      <c r="D85" s="2" t="e">
        <f t="shared" si="21"/>
        <v>#REF!</v>
      </c>
      <c r="E85" s="2"/>
      <c r="F85" s="2" t="e">
        <f t="shared" si="21"/>
        <v>#REF!</v>
      </c>
      <c r="G85" s="2" t="e">
        <f t="shared" si="21"/>
        <v>#REF!</v>
      </c>
      <c r="H85" s="2"/>
      <c r="J85" s="2" t="e">
        <f t="shared" si="22"/>
        <v>#REF!</v>
      </c>
      <c r="L85" s="2" t="e">
        <f t="shared" si="23"/>
        <v>#REF!</v>
      </c>
    </row>
    <row r="86" spans="2:12" x14ac:dyDescent="0.2">
      <c r="B86" t="s">
        <v>23</v>
      </c>
      <c r="C86" s="2" t="e">
        <f t="shared" si="21"/>
        <v>#REF!</v>
      </c>
      <c r="D86" s="2" t="e">
        <f t="shared" si="21"/>
        <v>#REF!</v>
      </c>
      <c r="E86" s="2"/>
      <c r="F86" s="2" t="e">
        <f t="shared" si="21"/>
        <v>#REF!</v>
      </c>
      <c r="G86" s="2" t="e">
        <f t="shared" si="21"/>
        <v>#REF!</v>
      </c>
      <c r="H86" s="2"/>
      <c r="J86" s="2" t="e">
        <f t="shared" si="22"/>
        <v>#REF!</v>
      </c>
      <c r="L86" s="2" t="e">
        <f t="shared" si="23"/>
        <v>#REF!</v>
      </c>
    </row>
    <row r="87" spans="2:12" x14ac:dyDescent="0.2">
      <c r="B87" t="s">
        <v>24</v>
      </c>
      <c r="C87" s="2" t="e">
        <f t="shared" si="21"/>
        <v>#REF!</v>
      </c>
      <c r="D87" s="2" t="e">
        <f t="shared" si="21"/>
        <v>#REF!</v>
      </c>
      <c r="E87" s="2"/>
      <c r="F87" s="2" t="e">
        <f t="shared" si="21"/>
        <v>#REF!</v>
      </c>
      <c r="G87" s="2" t="e">
        <f t="shared" si="21"/>
        <v>#REF!</v>
      </c>
      <c r="H87" s="2"/>
      <c r="J87" s="2" t="e">
        <f t="shared" si="22"/>
        <v>#REF!</v>
      </c>
      <c r="L87" s="2" t="e">
        <f t="shared" si="23"/>
        <v>#REF!</v>
      </c>
    </row>
    <row r="88" spans="2:12" x14ac:dyDescent="0.2">
      <c r="B88" t="s">
        <v>25</v>
      </c>
      <c r="C88" s="2" t="e">
        <f t="shared" si="21"/>
        <v>#REF!</v>
      </c>
      <c r="D88" s="2" t="e">
        <f t="shared" si="21"/>
        <v>#REF!</v>
      </c>
      <c r="E88" s="2"/>
      <c r="F88" s="2" t="e">
        <f t="shared" si="21"/>
        <v>#REF!</v>
      </c>
      <c r="G88" s="2" t="e">
        <f t="shared" si="21"/>
        <v>#REF!</v>
      </c>
      <c r="H88" s="2"/>
      <c r="J88" s="2" t="e">
        <f t="shared" si="22"/>
        <v>#REF!</v>
      </c>
      <c r="L88" s="2" t="e">
        <f t="shared" si="23"/>
        <v>#REF!</v>
      </c>
    </row>
    <row r="89" spans="2:12" x14ac:dyDescent="0.2">
      <c r="B89" t="s">
        <v>47</v>
      </c>
      <c r="C89" s="2" t="e">
        <f t="shared" si="21"/>
        <v>#REF!</v>
      </c>
      <c r="D89" s="2" t="e">
        <f t="shared" si="21"/>
        <v>#REF!</v>
      </c>
      <c r="E89" s="2"/>
      <c r="F89" s="2" t="e">
        <f t="shared" si="21"/>
        <v>#REF!</v>
      </c>
      <c r="G89" s="2" t="e">
        <f t="shared" si="21"/>
        <v>#REF!</v>
      </c>
      <c r="H89" s="2"/>
      <c r="J89" s="2" t="e">
        <f t="shared" si="22"/>
        <v>#REF!</v>
      </c>
      <c r="L89" s="2" t="e">
        <f t="shared" si="23"/>
        <v>#REF!</v>
      </c>
    </row>
    <row r="90" spans="2:12" x14ac:dyDescent="0.2">
      <c r="C90" s="2"/>
      <c r="D90" s="2"/>
      <c r="E90" s="2"/>
      <c r="F90" s="2"/>
      <c r="G90" s="2"/>
      <c r="H90" s="2"/>
      <c r="J90" s="2"/>
      <c r="L90" s="2"/>
    </row>
    <row r="91" spans="2:12" x14ac:dyDescent="0.2">
      <c r="B91" t="s">
        <v>37</v>
      </c>
      <c r="C91" s="2"/>
      <c r="D91" s="2"/>
      <c r="E91" s="2"/>
      <c r="F91" s="2"/>
      <c r="G91" s="2"/>
      <c r="H91" s="2"/>
      <c r="J91" s="2"/>
      <c r="L91" s="2"/>
    </row>
    <row r="92" spans="2:12" x14ac:dyDescent="0.2">
      <c r="B92" t="s">
        <v>21</v>
      </c>
      <c r="C92" s="3" t="e">
        <f t="shared" ref="C92:G97" si="24">C84/C2</f>
        <v>#REF!</v>
      </c>
      <c r="D92" s="3" t="e">
        <f t="shared" si="24"/>
        <v>#REF!</v>
      </c>
      <c r="E92" s="3"/>
      <c r="F92" s="3" t="e">
        <f t="shared" si="24"/>
        <v>#REF!</v>
      </c>
      <c r="G92" s="3" t="e">
        <f t="shared" si="24"/>
        <v>#REF!</v>
      </c>
      <c r="H92" s="3"/>
      <c r="J92" s="3" t="e">
        <f t="shared" ref="J92:J97" si="25">J84/J2</f>
        <v>#REF!</v>
      </c>
      <c r="L92" s="3" t="e">
        <f t="shared" ref="L92:L97" si="26">L84/L2</f>
        <v>#REF!</v>
      </c>
    </row>
    <row r="93" spans="2:12" x14ac:dyDescent="0.2">
      <c r="B93" t="s">
        <v>22</v>
      </c>
      <c r="C93" s="3" t="e">
        <f t="shared" si="24"/>
        <v>#REF!</v>
      </c>
      <c r="D93" s="3" t="e">
        <f t="shared" si="24"/>
        <v>#REF!</v>
      </c>
      <c r="E93" s="3"/>
      <c r="F93" s="3" t="e">
        <f t="shared" si="24"/>
        <v>#REF!</v>
      </c>
      <c r="G93" s="3" t="e">
        <f t="shared" si="24"/>
        <v>#REF!</v>
      </c>
      <c r="H93" s="3"/>
      <c r="J93" s="3" t="e">
        <f t="shared" si="25"/>
        <v>#REF!</v>
      </c>
      <c r="L93" s="3" t="e">
        <f t="shared" si="26"/>
        <v>#REF!</v>
      </c>
    </row>
    <row r="94" spans="2:12" x14ac:dyDescent="0.2">
      <c r="B94" t="s">
        <v>23</v>
      </c>
      <c r="C94" s="3" t="e">
        <f t="shared" si="24"/>
        <v>#REF!</v>
      </c>
      <c r="D94" s="3" t="e">
        <f t="shared" si="24"/>
        <v>#REF!</v>
      </c>
      <c r="E94" s="3"/>
      <c r="F94" s="3" t="e">
        <f t="shared" si="24"/>
        <v>#REF!</v>
      </c>
      <c r="G94" s="3" t="e">
        <f t="shared" si="24"/>
        <v>#REF!</v>
      </c>
      <c r="H94" s="3"/>
      <c r="J94" s="3" t="e">
        <f t="shared" si="25"/>
        <v>#REF!</v>
      </c>
      <c r="L94" s="3" t="e">
        <f t="shared" si="26"/>
        <v>#REF!</v>
      </c>
    </row>
    <row r="95" spans="2:12" x14ac:dyDescent="0.2">
      <c r="B95" t="s">
        <v>24</v>
      </c>
      <c r="C95" s="3" t="e">
        <f t="shared" si="24"/>
        <v>#REF!</v>
      </c>
      <c r="D95" s="3" t="e">
        <f t="shared" si="24"/>
        <v>#REF!</v>
      </c>
      <c r="E95" s="3"/>
      <c r="F95" s="3" t="e">
        <f t="shared" si="24"/>
        <v>#REF!</v>
      </c>
      <c r="G95" s="3" t="e">
        <f t="shared" si="24"/>
        <v>#REF!</v>
      </c>
      <c r="H95" s="3"/>
      <c r="J95" s="3" t="e">
        <f t="shared" si="25"/>
        <v>#REF!</v>
      </c>
      <c r="L95" s="3" t="e">
        <f t="shared" si="26"/>
        <v>#REF!</v>
      </c>
    </row>
    <row r="96" spans="2:12" x14ac:dyDescent="0.2">
      <c r="B96" t="s">
        <v>25</v>
      </c>
      <c r="C96" s="3" t="e">
        <f t="shared" si="24"/>
        <v>#REF!</v>
      </c>
      <c r="D96" s="3" t="e">
        <f t="shared" si="24"/>
        <v>#REF!</v>
      </c>
      <c r="E96" s="3"/>
      <c r="F96" s="3" t="e">
        <f t="shared" si="24"/>
        <v>#REF!</v>
      </c>
      <c r="G96" s="3" t="e">
        <f t="shared" si="24"/>
        <v>#REF!</v>
      </c>
      <c r="H96" s="3"/>
      <c r="J96" s="3" t="e">
        <f t="shared" si="25"/>
        <v>#REF!</v>
      </c>
      <c r="L96" s="3" t="e">
        <f t="shared" si="26"/>
        <v>#REF!</v>
      </c>
    </row>
    <row r="97" spans="2:12" x14ac:dyDescent="0.2">
      <c r="B97" t="s">
        <v>48</v>
      </c>
      <c r="C97" s="3" t="e">
        <f t="shared" si="24"/>
        <v>#REF!</v>
      </c>
      <c r="D97" s="3" t="e">
        <f t="shared" si="24"/>
        <v>#REF!</v>
      </c>
      <c r="E97" s="3"/>
      <c r="F97" s="3" t="e">
        <f t="shared" si="24"/>
        <v>#REF!</v>
      </c>
      <c r="G97" s="3" t="e">
        <f t="shared" si="24"/>
        <v>#REF!</v>
      </c>
      <c r="H97" s="3"/>
      <c r="J97" s="3" t="e">
        <f t="shared" si="25"/>
        <v>#REF!</v>
      </c>
      <c r="L97" s="3" t="e">
        <f t="shared" si="26"/>
        <v>#REF!</v>
      </c>
    </row>
    <row r="99" spans="2:12" x14ac:dyDescent="0.2">
      <c r="C99" s="3"/>
      <c r="D99" s="3"/>
      <c r="E99" s="3"/>
      <c r="F99" s="3"/>
      <c r="G99" s="3"/>
      <c r="H99" s="3"/>
    </row>
  </sheetData>
  <mergeCells count="1">
    <mergeCell ref="C75:G75"/>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efbd734-5033-4205-a2f9-2da415f5df63" xsi:nil="true"/>
    <lcf76f155ced4ddcb4097134ff3c332f xmlns="3fd939ed-87c1-4ffb-896d-dab1c5cda3c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31CFBD52BFA324283E2D41564C857A4" ma:contentTypeVersion="11" ma:contentTypeDescription="Create a new document." ma:contentTypeScope="" ma:versionID="643086a087a8336fca4a98ec874d87b5">
  <xsd:schema xmlns:xsd="http://www.w3.org/2001/XMLSchema" xmlns:xs="http://www.w3.org/2001/XMLSchema" xmlns:p="http://schemas.microsoft.com/office/2006/metadata/properties" xmlns:ns2="3fd939ed-87c1-4ffb-896d-dab1c5cda3c5" xmlns:ns3="2efbd734-5033-4205-a2f9-2da415f5df63" targetNamespace="http://schemas.microsoft.com/office/2006/metadata/properties" ma:root="true" ma:fieldsID="1b36c636b9200e04f9df2674da9da658" ns2:_="" ns3:_="">
    <xsd:import namespace="3fd939ed-87c1-4ffb-896d-dab1c5cda3c5"/>
    <xsd:import namespace="2efbd734-5033-4205-a2f9-2da415f5df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d939ed-87c1-4ffb-896d-dab1c5cda3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bffa456-7431-438b-a831-353138f4174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fbd734-5033-4205-a2f9-2da415f5df6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f86c646-bf89-4d1f-b1c4-d9a3c25d414d}" ma:internalName="TaxCatchAll" ma:showField="CatchAllData" ma:web="2efbd734-5033-4205-a2f9-2da415f5df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73217B-4653-4A75-9BD6-44BFC234BD6A}">
  <ds:schemaRefs>
    <ds:schemaRef ds:uri="http://purl.org/dc/terms/"/>
    <ds:schemaRef ds:uri="http://schemas.microsoft.com/office/2006/metadata/properties"/>
    <ds:schemaRef ds:uri="http://purl.org/dc/dcmitype/"/>
    <ds:schemaRef ds:uri="http://schemas.openxmlformats.org/package/2006/metadata/core-properties"/>
    <ds:schemaRef ds:uri="http://schemas.microsoft.com/office/2006/documentManagement/types"/>
    <ds:schemaRef ds:uri="http://purl.org/dc/elements/1.1/"/>
    <ds:schemaRef ds:uri="http://www.w3.org/XML/1998/namespace"/>
    <ds:schemaRef ds:uri="http://schemas.microsoft.com/office/infopath/2007/PartnerControls"/>
    <ds:schemaRef ds:uri="2efbd734-5033-4205-a2f9-2da415f5df63"/>
    <ds:schemaRef ds:uri="3fd939ed-87c1-4ffb-896d-dab1c5cda3c5"/>
  </ds:schemaRefs>
</ds:datastoreItem>
</file>

<file path=customXml/itemProps2.xml><?xml version="1.0" encoding="utf-8"?>
<ds:datastoreItem xmlns:ds="http://schemas.openxmlformats.org/officeDocument/2006/customXml" ds:itemID="{0115EC37-26AE-49CB-92A4-DD640BF991BA}">
  <ds:schemaRefs>
    <ds:schemaRef ds:uri="http://schemas.microsoft.com/sharepoint/v3/contenttype/forms"/>
  </ds:schemaRefs>
</ds:datastoreItem>
</file>

<file path=customXml/itemProps3.xml><?xml version="1.0" encoding="utf-8"?>
<ds:datastoreItem xmlns:ds="http://schemas.openxmlformats.org/officeDocument/2006/customXml" ds:itemID="{018F6F82-AF86-40A1-A0E3-FA17ED8D9F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d939ed-87c1-4ffb-896d-dab1c5cda3c5"/>
    <ds:schemaRef ds:uri="2efbd734-5033-4205-a2f9-2da415f5d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Inputs</vt:lpstr>
      <vt:lpstr>Session</vt:lpstr>
      <vt:lpstr>Weekly</vt:lpstr>
      <vt:lpstr>Monthly</vt:lpstr>
      <vt:lpstr>Annual</vt:lpstr>
      <vt:lpstr>Next Steps -&gt;</vt:lpstr>
      <vt:lpstr>Strong and Fit KPIs</vt:lpstr>
      <vt:lpstr>Old -&gt;</vt:lpstr>
      <vt:lpstr>Personal Training Proforma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 Bridges</dc:creator>
  <cp:keywords/>
  <dc:description/>
  <cp:lastModifiedBy>Aaron Trotter</cp:lastModifiedBy>
  <cp:revision/>
  <dcterms:created xsi:type="dcterms:W3CDTF">2025-09-06T04:30:09Z</dcterms:created>
  <dcterms:modified xsi:type="dcterms:W3CDTF">2026-04-02T20:36:51Z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0x010100931CFBD52BFA324283E2D41564C857A4</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