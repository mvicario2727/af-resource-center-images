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ate1904="1"/>
  <mc:AlternateContent xmlns:mc="http://schemas.openxmlformats.org/markup-compatibility/2006">
    <mc:Choice Requires="x15">
      <x15ac:absPath xmlns:x15ac="http://schemas.microsoft.com/office/spreadsheetml/2010/11/ac" url="C:\Users\tsmith\Desktop\AF\"/>
    </mc:Choice>
  </mc:AlternateContent>
  <xr:revisionPtr revIDLastSave="0" documentId="13_ncr:1_{52739FBB-A282-4CC9-BFA6-EE1F14B9F4B9}" xr6:coauthVersionLast="41" xr6:coauthVersionMax="41" xr10:uidLastSave="{00000000-0000-0000-0000-000000000000}"/>
  <bookViews>
    <workbookView xWindow="28680" yWindow="-120" windowWidth="29040" windowHeight="15840" tabRatio="222" firstSheet="1" activeTab="1" xr2:uid="{00000000-000D-0000-FFFF-FFFF00000000}"/>
  </bookViews>
  <sheets>
    <sheet name="Macro1" sheetId="2" state="hidden" r:id="rId1"/>
    <sheet name="Input" sheetId="3" r:id="rId2"/>
    <sheet name="AF Projections" sheetId="1" r:id="rId3"/>
  </sheets>
  <definedNames>
    <definedName name="_xlnm.Print_Area" localSheetId="2">'AF Projections'!$A$1:$N$172</definedName>
    <definedName name="RENT">Input!$C$18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1" l="1"/>
  <c r="B29" i="1"/>
  <c r="B55" i="1" l="1"/>
  <c r="B58" i="1"/>
  <c r="B65" i="1" l="1"/>
  <c r="C57" i="1" l="1"/>
  <c r="C5" i="3" l="1"/>
  <c r="B34" i="1" s="1"/>
  <c r="N136" i="1"/>
  <c r="M136" i="1"/>
  <c r="L136" i="1"/>
  <c r="K136" i="1"/>
  <c r="J136" i="1"/>
  <c r="I136" i="1"/>
  <c r="H136" i="1"/>
  <c r="G136" i="1"/>
  <c r="F136" i="1"/>
  <c r="E136" i="1"/>
  <c r="D136" i="1"/>
  <c r="C136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42" i="1"/>
  <c r="B41" i="1"/>
  <c r="B40" i="1"/>
  <c r="B39" i="1"/>
  <c r="B38" i="1"/>
  <c r="B36" i="1"/>
  <c r="B37" i="1"/>
  <c r="B35" i="1"/>
  <c r="B32" i="1"/>
  <c r="B31" i="1"/>
  <c r="C53" i="1"/>
  <c r="C26" i="3"/>
  <c r="C23" i="3"/>
  <c r="C17" i="3"/>
  <c r="C14" i="3"/>
  <c r="B33" i="1" s="1"/>
  <c r="C10" i="3"/>
  <c r="C65" i="1"/>
  <c r="C56" i="1"/>
  <c r="G75" i="1" l="1"/>
  <c r="B59" i="1"/>
  <c r="C54" i="1"/>
  <c r="C55" i="1" s="1"/>
  <c r="F77" i="1"/>
  <c r="G74" i="1"/>
  <c r="C37" i="3"/>
  <c r="F78" i="1"/>
  <c r="K78" i="1"/>
  <c r="G78" i="1"/>
  <c r="N77" i="1"/>
  <c r="J77" i="1"/>
  <c r="M75" i="1"/>
  <c r="I75" i="1"/>
  <c r="E75" i="1"/>
  <c r="L74" i="1"/>
  <c r="H74" i="1"/>
  <c r="D74" i="1"/>
  <c r="K73" i="1"/>
  <c r="N144" i="1"/>
  <c r="J144" i="1"/>
  <c r="F144" i="1"/>
  <c r="N111" i="1"/>
  <c r="J111" i="1"/>
  <c r="F111" i="1"/>
  <c r="M144" i="1"/>
  <c r="I144" i="1"/>
  <c r="E144" i="1"/>
  <c r="M111" i="1"/>
  <c r="I111" i="1"/>
  <c r="E111" i="1"/>
  <c r="L144" i="1"/>
  <c r="H144" i="1"/>
  <c r="D144" i="1"/>
  <c r="L111" i="1"/>
  <c r="H111" i="1"/>
  <c r="D111" i="1"/>
  <c r="K144" i="1"/>
  <c r="G144" i="1"/>
  <c r="C144" i="1"/>
  <c r="K111" i="1"/>
  <c r="G111" i="1"/>
  <c r="C111" i="1"/>
  <c r="N78" i="1"/>
  <c r="J78" i="1"/>
  <c r="M77" i="1"/>
  <c r="I77" i="1"/>
  <c r="E77" i="1"/>
  <c r="L75" i="1"/>
  <c r="H75" i="1"/>
  <c r="D75" i="1"/>
  <c r="K74" i="1"/>
  <c r="N73" i="1"/>
  <c r="J73" i="1"/>
  <c r="F73" i="1"/>
  <c r="N141" i="1"/>
  <c r="J141" i="1"/>
  <c r="F141" i="1"/>
  <c r="N108" i="1"/>
  <c r="J108" i="1"/>
  <c r="F108" i="1"/>
  <c r="M141" i="1"/>
  <c r="I141" i="1"/>
  <c r="E141" i="1"/>
  <c r="M108" i="1"/>
  <c r="I108" i="1"/>
  <c r="E108" i="1"/>
  <c r="L141" i="1"/>
  <c r="H141" i="1"/>
  <c r="D141" i="1"/>
  <c r="L108" i="1"/>
  <c r="H108" i="1"/>
  <c r="D108" i="1"/>
  <c r="K141" i="1"/>
  <c r="G141" i="1"/>
  <c r="C141" i="1"/>
  <c r="K108" i="1"/>
  <c r="G108" i="1"/>
  <c r="C108" i="1"/>
  <c r="N143" i="1"/>
  <c r="J143" i="1"/>
  <c r="F143" i="1"/>
  <c r="N110" i="1"/>
  <c r="J110" i="1"/>
  <c r="F110" i="1"/>
  <c r="N76" i="1"/>
  <c r="J76" i="1"/>
  <c r="F76" i="1"/>
  <c r="M143" i="1"/>
  <c r="I143" i="1"/>
  <c r="E143" i="1"/>
  <c r="M110" i="1"/>
  <c r="I110" i="1"/>
  <c r="E110" i="1"/>
  <c r="M76" i="1"/>
  <c r="I76" i="1"/>
  <c r="E76" i="1"/>
  <c r="L143" i="1"/>
  <c r="H143" i="1"/>
  <c r="D143" i="1"/>
  <c r="L110" i="1"/>
  <c r="H110" i="1"/>
  <c r="D110" i="1"/>
  <c r="L76" i="1"/>
  <c r="H76" i="1"/>
  <c r="D76" i="1"/>
  <c r="K143" i="1"/>
  <c r="G143" i="1"/>
  <c r="C143" i="1"/>
  <c r="K110" i="1"/>
  <c r="G110" i="1"/>
  <c r="C110" i="1"/>
  <c r="K76" i="1"/>
  <c r="G76" i="1"/>
  <c r="N145" i="1"/>
  <c r="J145" i="1"/>
  <c r="F145" i="1"/>
  <c r="N112" i="1"/>
  <c r="J112" i="1"/>
  <c r="F112" i="1"/>
  <c r="M145" i="1"/>
  <c r="I145" i="1"/>
  <c r="E145" i="1"/>
  <c r="M112" i="1"/>
  <c r="I112" i="1"/>
  <c r="E112" i="1"/>
  <c r="L145" i="1"/>
  <c r="H145" i="1"/>
  <c r="D145" i="1"/>
  <c r="L112" i="1"/>
  <c r="H112" i="1"/>
  <c r="D112" i="1"/>
  <c r="K145" i="1"/>
  <c r="G145" i="1"/>
  <c r="C145" i="1"/>
  <c r="K112" i="1"/>
  <c r="G112" i="1"/>
  <c r="C112" i="1"/>
  <c r="M78" i="1"/>
  <c r="I78" i="1"/>
  <c r="E78" i="1"/>
  <c r="L77" i="1"/>
  <c r="H77" i="1"/>
  <c r="D77" i="1"/>
  <c r="K75" i="1"/>
  <c r="N74" i="1"/>
  <c r="J74" i="1"/>
  <c r="F74" i="1"/>
  <c r="M73" i="1"/>
  <c r="I73" i="1"/>
  <c r="N140" i="1"/>
  <c r="J140" i="1"/>
  <c r="F140" i="1"/>
  <c r="N107" i="1"/>
  <c r="J107" i="1"/>
  <c r="F107" i="1"/>
  <c r="M140" i="1"/>
  <c r="I140" i="1"/>
  <c r="E140" i="1"/>
  <c r="M107" i="1"/>
  <c r="I107" i="1"/>
  <c r="E107" i="1"/>
  <c r="L140" i="1"/>
  <c r="H140" i="1"/>
  <c r="D140" i="1"/>
  <c r="L107" i="1"/>
  <c r="H107" i="1"/>
  <c r="D107" i="1"/>
  <c r="K140" i="1"/>
  <c r="G140" i="1"/>
  <c r="C140" i="1"/>
  <c r="K107" i="1"/>
  <c r="G107" i="1"/>
  <c r="C107" i="1"/>
  <c r="N142" i="1"/>
  <c r="J142" i="1"/>
  <c r="F142" i="1"/>
  <c r="N109" i="1"/>
  <c r="J109" i="1"/>
  <c r="F109" i="1"/>
  <c r="M142" i="1"/>
  <c r="I142" i="1"/>
  <c r="E142" i="1"/>
  <c r="M109" i="1"/>
  <c r="I109" i="1"/>
  <c r="E109" i="1"/>
  <c r="L142" i="1"/>
  <c r="H142" i="1"/>
  <c r="D142" i="1"/>
  <c r="L109" i="1"/>
  <c r="H109" i="1"/>
  <c r="D109" i="1"/>
  <c r="K142" i="1"/>
  <c r="G142" i="1"/>
  <c r="C142" i="1"/>
  <c r="K109" i="1"/>
  <c r="G109" i="1"/>
  <c r="C109" i="1"/>
  <c r="L78" i="1"/>
  <c r="H78" i="1"/>
  <c r="D78" i="1"/>
  <c r="K77" i="1"/>
  <c r="G77" i="1"/>
  <c r="N75" i="1"/>
  <c r="J75" i="1"/>
  <c r="F75" i="1"/>
  <c r="M74" i="1"/>
  <c r="I74" i="1"/>
  <c r="E74" i="1"/>
  <c r="L73" i="1"/>
  <c r="H73" i="1"/>
  <c r="D73" i="1"/>
  <c r="C73" i="1"/>
  <c r="C77" i="1"/>
  <c r="C76" i="1"/>
  <c r="C74" i="1"/>
  <c r="C78" i="1"/>
  <c r="C75" i="1"/>
  <c r="E73" i="1" l="1"/>
  <c r="D54" i="1"/>
  <c r="C60" i="1"/>
  <c r="G73" i="1"/>
  <c r="B66" i="1" l="1"/>
  <c r="B80" i="1"/>
  <c r="B71" i="1"/>
  <c r="C58" i="1"/>
  <c r="B81" i="1" l="1"/>
  <c r="B82" i="1" s="1"/>
  <c r="B83" i="1" s="1"/>
  <c r="B72" i="1"/>
  <c r="C59" i="1"/>
  <c r="C64" i="1" s="1"/>
  <c r="D57" i="1"/>
  <c r="C61" i="1"/>
  <c r="C62" i="1" s="1"/>
  <c r="C79" i="1" s="1"/>
  <c r="C80" i="1" s="1"/>
  <c r="C69" i="1" l="1"/>
  <c r="D68" i="1"/>
  <c r="E68" i="1"/>
  <c r="F68" i="1"/>
  <c r="G68" i="1"/>
  <c r="H68" i="1"/>
  <c r="I68" i="1"/>
  <c r="J68" i="1"/>
  <c r="K68" i="1"/>
  <c r="L68" i="1"/>
  <c r="M68" i="1"/>
  <c r="N68" i="1"/>
  <c r="C68" i="1"/>
  <c r="D65" i="1"/>
  <c r="E65" i="1"/>
  <c r="F65" i="1"/>
  <c r="G65" i="1"/>
  <c r="H65" i="1"/>
  <c r="I65" i="1"/>
  <c r="J65" i="1"/>
  <c r="K65" i="1"/>
  <c r="L65" i="1"/>
  <c r="M65" i="1"/>
  <c r="N65" i="1"/>
  <c r="C63" i="1" l="1"/>
  <c r="C70" i="1"/>
  <c r="C99" i="1"/>
  <c r="D133" i="1"/>
  <c r="E133" i="1"/>
  <c r="F133" i="1"/>
  <c r="G133" i="1"/>
  <c r="H133" i="1"/>
  <c r="I133" i="1"/>
  <c r="J133" i="1"/>
  <c r="K133" i="1"/>
  <c r="L133" i="1"/>
  <c r="M133" i="1"/>
  <c r="N133" i="1"/>
  <c r="C133" i="1"/>
  <c r="D99" i="1"/>
  <c r="E99" i="1"/>
  <c r="F99" i="1"/>
  <c r="G99" i="1"/>
  <c r="H99" i="1"/>
  <c r="I99" i="1"/>
  <c r="J99" i="1"/>
  <c r="K99" i="1"/>
  <c r="L99" i="1"/>
  <c r="M99" i="1"/>
  <c r="N99" i="1"/>
  <c r="C90" i="1"/>
  <c r="C87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C66" i="1" l="1"/>
  <c r="D87" i="1"/>
  <c r="E87" i="1"/>
  <c r="F87" i="1"/>
  <c r="G87" i="1"/>
  <c r="H87" i="1"/>
  <c r="I87" i="1"/>
  <c r="J87" i="1"/>
  <c r="K87" i="1"/>
  <c r="L87" i="1"/>
  <c r="M87" i="1"/>
  <c r="N87" i="1"/>
  <c r="D90" i="1"/>
  <c r="E90" i="1"/>
  <c r="F90" i="1"/>
  <c r="G90" i="1"/>
  <c r="H90" i="1"/>
  <c r="I90" i="1"/>
  <c r="J90" i="1"/>
  <c r="K90" i="1"/>
  <c r="L90" i="1"/>
  <c r="M90" i="1"/>
  <c r="N90" i="1"/>
  <c r="D53" i="1" l="1"/>
  <c r="D55" i="1" s="1"/>
  <c r="E54" i="1" s="1"/>
  <c r="E53" i="1"/>
  <c r="F53" i="1"/>
  <c r="G53" i="1"/>
  <c r="H53" i="1"/>
  <c r="I53" i="1"/>
  <c r="J53" i="1"/>
  <c r="K53" i="1"/>
  <c r="L53" i="1"/>
  <c r="M53" i="1"/>
  <c r="N53" i="1"/>
  <c r="E55" i="1" l="1"/>
  <c r="C67" i="1" l="1"/>
  <c r="C71" i="1" s="1"/>
  <c r="C81" i="1" s="1"/>
  <c r="C82" i="1" s="1"/>
  <c r="C83" i="1" s="1"/>
  <c r="D60" i="1"/>
  <c r="F54" i="1"/>
  <c r="F55" i="1" s="1"/>
  <c r="C72" i="1" l="1"/>
  <c r="E60" i="1"/>
  <c r="G54" i="1"/>
  <c r="G55" i="1" s="1"/>
  <c r="N56" i="1"/>
  <c r="D56" i="1"/>
  <c r="D58" i="1" s="1"/>
  <c r="E57" i="1" s="1"/>
  <c r="E56" i="1"/>
  <c r="F56" i="1"/>
  <c r="G56" i="1"/>
  <c r="H56" i="1"/>
  <c r="I56" i="1"/>
  <c r="J56" i="1"/>
  <c r="K56" i="1"/>
  <c r="L56" i="1"/>
  <c r="M56" i="1"/>
  <c r="E58" i="1" l="1"/>
  <c r="F57" i="1" s="1"/>
  <c r="F58" i="1" s="1"/>
  <c r="G57" i="1" s="1"/>
  <c r="D61" i="1"/>
  <c r="D62" i="1" s="1"/>
  <c r="D59" i="1"/>
  <c r="D69" i="1" s="1"/>
  <c r="F60" i="1"/>
  <c r="H54" i="1"/>
  <c r="H55" i="1" s="1"/>
  <c r="G58" i="1" l="1"/>
  <c r="H57" i="1" s="1"/>
  <c r="H58" i="1" s="1"/>
  <c r="I57" i="1" s="1"/>
  <c r="I58" i="1" s="1"/>
  <c r="J57" i="1" s="1"/>
  <c r="J58" i="1" s="1"/>
  <c r="K57" i="1" s="1"/>
  <c r="K58" i="1" s="1"/>
  <c r="D63" i="1"/>
  <c r="D64" i="1"/>
  <c r="D70" i="1" s="1"/>
  <c r="D79" i="1"/>
  <c r="D80" i="1" s="1"/>
  <c r="E61" i="1"/>
  <c r="E62" i="1" s="1"/>
  <c r="E59" i="1"/>
  <c r="E69" i="1" s="1"/>
  <c r="G60" i="1"/>
  <c r="I54" i="1"/>
  <c r="I55" i="1" s="1"/>
  <c r="L57" i="1" l="1"/>
  <c r="L58" i="1" s="1"/>
  <c r="M57" i="1" s="1"/>
  <c r="M58" i="1" s="1"/>
  <c r="N57" i="1" s="1"/>
  <c r="N58" i="1" s="1"/>
  <c r="C91" i="1" s="1"/>
  <c r="D66" i="1"/>
  <c r="D67" i="1"/>
  <c r="D71" i="1" s="1"/>
  <c r="E63" i="1"/>
  <c r="E64" i="1"/>
  <c r="E79" i="1"/>
  <c r="E80" i="1" s="1"/>
  <c r="F61" i="1"/>
  <c r="F62" i="1" s="1"/>
  <c r="F59" i="1"/>
  <c r="F69" i="1" s="1"/>
  <c r="H60" i="1"/>
  <c r="J54" i="1"/>
  <c r="J55" i="1" s="1"/>
  <c r="D81" i="1" l="1"/>
  <c r="D82" i="1" s="1"/>
  <c r="D72" i="1"/>
  <c r="E67" i="1"/>
  <c r="E70" i="1"/>
  <c r="F79" i="1"/>
  <c r="F80" i="1" s="1"/>
  <c r="F63" i="1"/>
  <c r="F64" i="1"/>
  <c r="E66" i="1"/>
  <c r="G61" i="1"/>
  <c r="G62" i="1" s="1"/>
  <c r="G59" i="1"/>
  <c r="G69" i="1" s="1"/>
  <c r="I60" i="1"/>
  <c r="K54" i="1"/>
  <c r="K55" i="1" s="1"/>
  <c r="E71" i="1" l="1"/>
  <c r="F67" i="1"/>
  <c r="F70" i="1"/>
  <c r="F66" i="1"/>
  <c r="G63" i="1"/>
  <c r="G64" i="1"/>
  <c r="G79" i="1"/>
  <c r="G80" i="1" s="1"/>
  <c r="H61" i="1"/>
  <c r="H62" i="1" s="1"/>
  <c r="H59" i="1"/>
  <c r="H69" i="1" s="1"/>
  <c r="J60" i="1"/>
  <c r="L54" i="1"/>
  <c r="L55" i="1" s="1"/>
  <c r="E81" i="1" l="1"/>
  <c r="E82" i="1" s="1"/>
  <c r="E72" i="1"/>
  <c r="G67" i="1"/>
  <c r="G70" i="1"/>
  <c r="F71" i="1"/>
  <c r="G66" i="1"/>
  <c r="H63" i="1"/>
  <c r="H64" i="1"/>
  <c r="H79" i="1"/>
  <c r="H80" i="1" s="1"/>
  <c r="I61" i="1"/>
  <c r="I62" i="1" s="1"/>
  <c r="I59" i="1"/>
  <c r="I69" i="1" s="1"/>
  <c r="K60" i="1"/>
  <c r="M54" i="1"/>
  <c r="M55" i="1" s="1"/>
  <c r="N54" i="1" l="1"/>
  <c r="N55" i="1" s="1"/>
  <c r="F81" i="1"/>
  <c r="F82" i="1" s="1"/>
  <c r="F72" i="1"/>
  <c r="H67" i="1"/>
  <c r="H70" i="1"/>
  <c r="G71" i="1"/>
  <c r="D83" i="1"/>
  <c r="I63" i="1"/>
  <c r="I64" i="1"/>
  <c r="I70" i="1" s="1"/>
  <c r="H66" i="1"/>
  <c r="I79" i="1"/>
  <c r="I80" i="1" s="1"/>
  <c r="J61" i="1"/>
  <c r="J62" i="1" s="1"/>
  <c r="J59" i="1"/>
  <c r="J69" i="1" s="1"/>
  <c r="L60" i="1"/>
  <c r="C88" i="1" l="1"/>
  <c r="C89" i="1" s="1"/>
  <c r="D88" i="1" s="1"/>
  <c r="G81" i="1"/>
  <c r="G82" i="1" s="1"/>
  <c r="G72" i="1"/>
  <c r="H71" i="1"/>
  <c r="I66" i="1"/>
  <c r="I67" i="1"/>
  <c r="J63" i="1"/>
  <c r="J64" i="1"/>
  <c r="J70" i="1" s="1"/>
  <c r="J79" i="1"/>
  <c r="J80" i="1" s="1"/>
  <c r="K61" i="1"/>
  <c r="K62" i="1" s="1"/>
  <c r="K59" i="1"/>
  <c r="K69" i="1" s="1"/>
  <c r="M60" i="1"/>
  <c r="H81" i="1" l="1"/>
  <c r="H82" i="1" s="1"/>
  <c r="H72" i="1"/>
  <c r="I71" i="1"/>
  <c r="J66" i="1"/>
  <c r="K79" i="1"/>
  <c r="K80" i="1" s="1"/>
  <c r="K63" i="1"/>
  <c r="K64" i="1"/>
  <c r="J67" i="1"/>
  <c r="J71" i="1" s="1"/>
  <c r="L61" i="1"/>
  <c r="L62" i="1" s="1"/>
  <c r="L59" i="1"/>
  <c r="L69" i="1" s="1"/>
  <c r="N60" i="1"/>
  <c r="E83" i="1"/>
  <c r="F83" i="1" s="1"/>
  <c r="G83" i="1" s="1"/>
  <c r="I81" i="1" l="1"/>
  <c r="I82" i="1" s="1"/>
  <c r="J81" i="1"/>
  <c r="J82" i="1" s="1"/>
  <c r="H83" i="1"/>
  <c r="I72" i="1"/>
  <c r="J72" i="1"/>
  <c r="K67" i="1"/>
  <c r="K70" i="1"/>
  <c r="K66" i="1"/>
  <c r="L63" i="1"/>
  <c r="L64" i="1"/>
  <c r="C94" i="1"/>
  <c r="L79" i="1"/>
  <c r="L80" i="1" s="1"/>
  <c r="M61" i="1"/>
  <c r="M62" i="1" s="1"/>
  <c r="M59" i="1"/>
  <c r="M69" i="1" s="1"/>
  <c r="D89" i="1"/>
  <c r="I83" i="1" l="1"/>
  <c r="J83" i="1" s="1"/>
  <c r="L67" i="1"/>
  <c r="L70" i="1"/>
  <c r="K71" i="1"/>
  <c r="L66" i="1"/>
  <c r="M79" i="1"/>
  <c r="M80" i="1" s="1"/>
  <c r="M63" i="1"/>
  <c r="M64" i="1"/>
  <c r="N61" i="1"/>
  <c r="N62" i="1" s="1"/>
  <c r="C92" i="1"/>
  <c r="C93" i="1" s="1"/>
  <c r="C98" i="1" s="1"/>
  <c r="C104" i="1" s="1"/>
  <c r="N59" i="1"/>
  <c r="N69" i="1" s="1"/>
  <c r="D94" i="1"/>
  <c r="E88" i="1"/>
  <c r="E89" i="1" s="1"/>
  <c r="C95" i="1" l="1"/>
  <c r="C96" i="1" s="1"/>
  <c r="C113" i="1" s="1"/>
  <c r="C114" i="1" s="1"/>
  <c r="K81" i="1"/>
  <c r="K82" i="1" s="1"/>
  <c r="K83" i="1" s="1"/>
  <c r="K72" i="1"/>
  <c r="M67" i="1"/>
  <c r="M70" i="1"/>
  <c r="L71" i="1"/>
  <c r="M66" i="1"/>
  <c r="N79" i="1"/>
  <c r="N80" i="1" s="1"/>
  <c r="N63" i="1"/>
  <c r="N64" i="1"/>
  <c r="N70" i="1" s="1"/>
  <c r="D91" i="1"/>
  <c r="D92" i="1" s="1"/>
  <c r="C103" i="1"/>
  <c r="E94" i="1"/>
  <c r="F88" i="1"/>
  <c r="F89" i="1" s="1"/>
  <c r="L81" i="1" l="1"/>
  <c r="L82" i="1" s="1"/>
  <c r="L83" i="1" s="1"/>
  <c r="L72" i="1"/>
  <c r="M71" i="1"/>
  <c r="C97" i="1"/>
  <c r="N67" i="1"/>
  <c r="N66" i="1"/>
  <c r="E91" i="1"/>
  <c r="E92" i="1" s="1"/>
  <c r="D95" i="1"/>
  <c r="D96" i="1" s="1"/>
  <c r="D113" i="1" s="1"/>
  <c r="D93" i="1"/>
  <c r="D103" i="1" s="1"/>
  <c r="F94" i="1"/>
  <c r="G88" i="1"/>
  <c r="G89" i="1" s="1"/>
  <c r="M81" i="1" l="1"/>
  <c r="M82" i="1" s="1"/>
  <c r="M83" i="1" s="1"/>
  <c r="M72" i="1"/>
  <c r="C101" i="1"/>
  <c r="D114" i="1"/>
  <c r="N71" i="1"/>
  <c r="C100" i="1"/>
  <c r="D97" i="1"/>
  <c r="E95" i="1"/>
  <c r="E96" i="1" s="1"/>
  <c r="E113" i="1" s="1"/>
  <c r="E93" i="1"/>
  <c r="E103" i="1" s="1"/>
  <c r="G94" i="1"/>
  <c r="H88" i="1"/>
  <c r="H89" i="1" s="1"/>
  <c r="N81" i="1" l="1"/>
  <c r="N82" i="1" s="1"/>
  <c r="N83" i="1" s="1"/>
  <c r="N72" i="1"/>
  <c r="C105" i="1"/>
  <c r="E114" i="1"/>
  <c r="E97" i="1"/>
  <c r="H94" i="1"/>
  <c r="I88" i="1"/>
  <c r="I89" i="1" s="1"/>
  <c r="J88" i="1" s="1"/>
  <c r="C115" i="1" l="1"/>
  <c r="C106" i="1"/>
  <c r="I94" i="1"/>
  <c r="J89" i="1"/>
  <c r="C116" i="1" l="1"/>
  <c r="C117" i="1" s="1"/>
  <c r="J94" i="1"/>
  <c r="K88" i="1"/>
  <c r="K89" i="1" s="1"/>
  <c r="K94" i="1" l="1"/>
  <c r="L88" i="1"/>
  <c r="L89" i="1" s="1"/>
  <c r="L94" i="1" l="1"/>
  <c r="M88" i="1"/>
  <c r="M89" i="1" s="1"/>
  <c r="N88" i="1" s="1"/>
  <c r="M94" i="1" l="1"/>
  <c r="N89" i="1"/>
  <c r="C122" i="1" s="1"/>
  <c r="F91" i="1"/>
  <c r="F92" i="1" s="1"/>
  <c r="C123" i="1" l="1"/>
  <c r="N94" i="1"/>
  <c r="F95" i="1"/>
  <c r="F96" i="1" s="1"/>
  <c r="F113" i="1" s="1"/>
  <c r="F93" i="1"/>
  <c r="F103" i="1" s="1"/>
  <c r="D98" i="1"/>
  <c r="F114" i="1" l="1"/>
  <c r="D104" i="1"/>
  <c r="D101" i="1"/>
  <c r="F97" i="1"/>
  <c r="D122" i="1"/>
  <c r="D123" i="1" s="1"/>
  <c r="C128" i="1"/>
  <c r="E98" i="1"/>
  <c r="D100" i="1"/>
  <c r="D105" i="1" l="1"/>
  <c r="E104" i="1"/>
  <c r="E101" i="1"/>
  <c r="D128" i="1"/>
  <c r="E122" i="1"/>
  <c r="E123" i="1" s="1"/>
  <c r="G91" i="1"/>
  <c r="G92" i="1" s="1"/>
  <c r="F98" i="1"/>
  <c r="E100" i="1"/>
  <c r="D106" i="1" l="1"/>
  <c r="D115" i="1"/>
  <c r="D116" i="1" s="1"/>
  <c r="D117" i="1" s="1"/>
  <c r="E105" i="1"/>
  <c r="F104" i="1"/>
  <c r="F101" i="1"/>
  <c r="F122" i="1"/>
  <c r="F123" i="1" s="1"/>
  <c r="E128" i="1"/>
  <c r="G95" i="1"/>
  <c r="G96" i="1" s="1"/>
  <c r="G113" i="1" s="1"/>
  <c r="G93" i="1"/>
  <c r="G103" i="1" s="1"/>
  <c r="H91" i="1"/>
  <c r="H92" i="1" s="1"/>
  <c r="F100" i="1"/>
  <c r="E106" i="1" l="1"/>
  <c r="E115" i="1"/>
  <c r="E116" i="1" s="1"/>
  <c r="E117" i="1" s="1"/>
  <c r="G114" i="1"/>
  <c r="F105" i="1"/>
  <c r="G97" i="1"/>
  <c r="F128" i="1"/>
  <c r="G122" i="1"/>
  <c r="G123" i="1" s="1"/>
  <c r="H95" i="1"/>
  <c r="H96" i="1" s="1"/>
  <c r="H113" i="1" s="1"/>
  <c r="H93" i="1"/>
  <c r="H103" i="1" s="1"/>
  <c r="G98" i="1"/>
  <c r="G104" i="1" s="1"/>
  <c r="I91" i="1"/>
  <c r="I92" i="1" s="1"/>
  <c r="J91" i="1" s="1"/>
  <c r="F106" i="1" l="1"/>
  <c r="F115" i="1"/>
  <c r="F116" i="1" s="1"/>
  <c r="F117" i="1" s="1"/>
  <c r="G101" i="1"/>
  <c r="G105" i="1" s="1"/>
  <c r="G115" i="1" s="1"/>
  <c r="H114" i="1"/>
  <c r="H97" i="1"/>
  <c r="G128" i="1"/>
  <c r="H122" i="1"/>
  <c r="H123" i="1" s="1"/>
  <c r="I95" i="1"/>
  <c r="I96" i="1" s="1"/>
  <c r="I113" i="1" s="1"/>
  <c r="I93" i="1"/>
  <c r="I103" i="1" s="1"/>
  <c r="G100" i="1"/>
  <c r="H98" i="1"/>
  <c r="H104" i="1" s="1"/>
  <c r="J92" i="1"/>
  <c r="K91" i="1" s="1"/>
  <c r="G106" i="1" l="1"/>
  <c r="G116" i="1"/>
  <c r="G117" i="1" s="1"/>
  <c r="I114" i="1"/>
  <c r="H101" i="1"/>
  <c r="H105" i="1" s="1"/>
  <c r="H115" i="1" s="1"/>
  <c r="I97" i="1"/>
  <c r="H128" i="1"/>
  <c r="I122" i="1"/>
  <c r="I123" i="1" s="1"/>
  <c r="I98" i="1"/>
  <c r="I104" i="1" s="1"/>
  <c r="J95" i="1"/>
  <c r="J96" i="1" s="1"/>
  <c r="J113" i="1" s="1"/>
  <c r="J93" i="1"/>
  <c r="J103" i="1" s="1"/>
  <c r="H100" i="1"/>
  <c r="K92" i="1"/>
  <c r="H116" i="1" l="1"/>
  <c r="H117" i="1" s="1"/>
  <c r="H106" i="1"/>
  <c r="J114" i="1"/>
  <c r="I101" i="1"/>
  <c r="I105" i="1" s="1"/>
  <c r="I115" i="1" s="1"/>
  <c r="J98" i="1"/>
  <c r="J104" i="1" s="1"/>
  <c r="J97" i="1"/>
  <c r="I100" i="1"/>
  <c r="I128" i="1"/>
  <c r="J122" i="1"/>
  <c r="J123" i="1" s="1"/>
  <c r="K95" i="1"/>
  <c r="K96" i="1" s="1"/>
  <c r="K113" i="1" s="1"/>
  <c r="K93" i="1"/>
  <c r="K103" i="1" s="1"/>
  <c r="L91" i="1"/>
  <c r="L92" i="1" s="1"/>
  <c r="I116" i="1" l="1"/>
  <c r="I117" i="1" s="1"/>
  <c r="I106" i="1"/>
  <c r="K114" i="1"/>
  <c r="J101" i="1"/>
  <c r="J105" i="1" s="1"/>
  <c r="J115" i="1" s="1"/>
  <c r="J100" i="1"/>
  <c r="K98" i="1"/>
  <c r="K104" i="1" s="1"/>
  <c r="K97" i="1"/>
  <c r="J128" i="1"/>
  <c r="K122" i="1"/>
  <c r="K123" i="1" s="1"/>
  <c r="L95" i="1"/>
  <c r="L96" i="1" s="1"/>
  <c r="L113" i="1" s="1"/>
  <c r="L93" i="1"/>
  <c r="L103" i="1" s="1"/>
  <c r="M91" i="1"/>
  <c r="M92" i="1" s="1"/>
  <c r="J106" i="1" l="1"/>
  <c r="J116" i="1"/>
  <c r="J117" i="1" s="1"/>
  <c r="K101" i="1"/>
  <c r="K105" i="1" s="1"/>
  <c r="K115" i="1" s="1"/>
  <c r="L114" i="1"/>
  <c r="K100" i="1"/>
  <c r="L97" i="1"/>
  <c r="K128" i="1"/>
  <c r="L122" i="1"/>
  <c r="L123" i="1" s="1"/>
  <c r="L98" i="1"/>
  <c r="L104" i="1" s="1"/>
  <c r="M95" i="1"/>
  <c r="M96" i="1" s="1"/>
  <c r="M113" i="1" s="1"/>
  <c r="M93" i="1"/>
  <c r="M103" i="1" s="1"/>
  <c r="N91" i="1"/>
  <c r="N92" i="1" s="1"/>
  <c r="C125" i="1" s="1"/>
  <c r="K106" i="1" l="1"/>
  <c r="K116" i="1"/>
  <c r="K117" i="1" s="1"/>
  <c r="L101" i="1"/>
  <c r="L105" i="1" s="1"/>
  <c r="L115" i="1" s="1"/>
  <c r="M114" i="1"/>
  <c r="L100" i="1"/>
  <c r="M98" i="1"/>
  <c r="M104" i="1" s="1"/>
  <c r="M97" i="1"/>
  <c r="C126" i="1"/>
  <c r="L128" i="1"/>
  <c r="M122" i="1"/>
  <c r="M123" i="1" s="1"/>
  <c r="N95" i="1"/>
  <c r="N96" i="1" s="1"/>
  <c r="N113" i="1" s="1"/>
  <c r="N93" i="1"/>
  <c r="N103" i="1" s="1"/>
  <c r="L116" i="1" l="1"/>
  <c r="L117" i="1" s="1"/>
  <c r="L106" i="1"/>
  <c r="N114" i="1"/>
  <c r="M101" i="1"/>
  <c r="M105" i="1" s="1"/>
  <c r="M115" i="1" s="1"/>
  <c r="M100" i="1"/>
  <c r="N97" i="1"/>
  <c r="D125" i="1"/>
  <c r="D126" i="1" s="1"/>
  <c r="C127" i="1"/>
  <c r="C129" i="1"/>
  <c r="C130" i="1" s="1"/>
  <c r="C146" i="1" s="1"/>
  <c r="C147" i="1" s="1"/>
  <c r="M128" i="1"/>
  <c r="N122" i="1"/>
  <c r="N123" i="1" s="1"/>
  <c r="N128" i="1" s="1"/>
  <c r="N98" i="1"/>
  <c r="N104" i="1" s="1"/>
  <c r="C137" i="1" l="1"/>
  <c r="C132" i="1"/>
  <c r="M116" i="1"/>
  <c r="M117" i="1" s="1"/>
  <c r="M106" i="1"/>
  <c r="N101" i="1"/>
  <c r="N105" i="1" s="1"/>
  <c r="N115" i="1" s="1"/>
  <c r="C131" i="1"/>
  <c r="D129" i="1"/>
  <c r="D130" i="1" s="1"/>
  <c r="D146" i="1" s="1"/>
  <c r="E125" i="1"/>
  <c r="E126" i="1" s="1"/>
  <c r="D127" i="1"/>
  <c r="D137" i="1" s="1"/>
  <c r="C138" i="1"/>
  <c r="N100" i="1"/>
  <c r="C135" i="1" l="1"/>
  <c r="C139" i="1" s="1"/>
  <c r="C148" i="1" s="1"/>
  <c r="N106" i="1"/>
  <c r="N116" i="1"/>
  <c r="N117" i="1" s="1"/>
  <c r="D147" i="1"/>
  <c r="D131" i="1"/>
  <c r="C134" i="1"/>
  <c r="E129" i="1"/>
  <c r="E130" i="1" s="1"/>
  <c r="E146" i="1" s="1"/>
  <c r="F125" i="1"/>
  <c r="F126" i="1" s="1"/>
  <c r="E127" i="1"/>
  <c r="E137" i="1" s="1"/>
  <c r="D132" i="1"/>
  <c r="D138" i="1" s="1"/>
  <c r="C149" i="1" l="1"/>
  <c r="C150" i="1" s="1"/>
  <c r="D135" i="1"/>
  <c r="D139" i="1" s="1"/>
  <c r="D148" i="1" s="1"/>
  <c r="E147" i="1"/>
  <c r="D134" i="1"/>
  <c r="E131" i="1"/>
  <c r="F127" i="1"/>
  <c r="F137" i="1" s="1"/>
  <c r="F129" i="1"/>
  <c r="F130" i="1" s="1"/>
  <c r="F146" i="1" s="1"/>
  <c r="G125" i="1"/>
  <c r="G126" i="1" s="1"/>
  <c r="E132" i="1"/>
  <c r="E138" i="1" s="1"/>
  <c r="D149" i="1" l="1"/>
  <c r="D150" i="1" s="1"/>
  <c r="F147" i="1"/>
  <c r="E135" i="1"/>
  <c r="E139" i="1" s="1"/>
  <c r="E148" i="1" s="1"/>
  <c r="F131" i="1"/>
  <c r="E134" i="1"/>
  <c r="G127" i="1"/>
  <c r="G137" i="1" s="1"/>
  <c r="G129" i="1"/>
  <c r="G130" i="1" s="1"/>
  <c r="G146" i="1" s="1"/>
  <c r="H125" i="1"/>
  <c r="H126" i="1" s="1"/>
  <c r="F132" i="1"/>
  <c r="F138" i="1" s="1"/>
  <c r="E149" i="1" l="1"/>
  <c r="E150" i="1" s="1"/>
  <c r="F135" i="1"/>
  <c r="F139" i="1" s="1"/>
  <c r="F148" i="1" s="1"/>
  <c r="G147" i="1"/>
  <c r="G131" i="1"/>
  <c r="H129" i="1"/>
  <c r="H130" i="1" s="1"/>
  <c r="H146" i="1" s="1"/>
  <c r="H127" i="1"/>
  <c r="H137" i="1" s="1"/>
  <c r="I125" i="1"/>
  <c r="I126" i="1" s="1"/>
  <c r="F134" i="1"/>
  <c r="G132" i="1"/>
  <c r="G138" i="1" s="1"/>
  <c r="F149" i="1" l="1"/>
  <c r="F150" i="1" s="1"/>
  <c r="H147" i="1"/>
  <c r="G135" i="1"/>
  <c r="G139" i="1" s="1"/>
  <c r="G148" i="1" s="1"/>
  <c r="H131" i="1"/>
  <c r="G134" i="1"/>
  <c r="I129" i="1"/>
  <c r="I130" i="1" s="1"/>
  <c r="I146" i="1" s="1"/>
  <c r="I127" i="1"/>
  <c r="I137" i="1" s="1"/>
  <c r="J125" i="1"/>
  <c r="J126" i="1" s="1"/>
  <c r="H132" i="1"/>
  <c r="H138" i="1" s="1"/>
  <c r="G149" i="1" l="1"/>
  <c r="G150" i="1" s="1"/>
  <c r="I147" i="1"/>
  <c r="H135" i="1"/>
  <c r="H139" i="1" s="1"/>
  <c r="H148" i="1" s="1"/>
  <c r="I131" i="1"/>
  <c r="H134" i="1"/>
  <c r="J127" i="1"/>
  <c r="J137" i="1" s="1"/>
  <c r="J129" i="1"/>
  <c r="J130" i="1" s="1"/>
  <c r="J146" i="1" s="1"/>
  <c r="K125" i="1"/>
  <c r="K126" i="1" s="1"/>
  <c r="I132" i="1"/>
  <c r="I138" i="1" s="1"/>
  <c r="H149" i="1" l="1"/>
  <c r="H150" i="1" s="1"/>
  <c r="I135" i="1"/>
  <c r="I139" i="1" s="1"/>
  <c r="I148" i="1" s="1"/>
  <c r="J147" i="1"/>
  <c r="J132" i="1"/>
  <c r="J138" i="1" s="1"/>
  <c r="J131" i="1"/>
  <c r="I134" i="1"/>
  <c r="K127" i="1"/>
  <c r="K137" i="1" s="1"/>
  <c r="K129" i="1"/>
  <c r="K130" i="1" s="1"/>
  <c r="K146" i="1" s="1"/>
  <c r="L125" i="1"/>
  <c r="L126" i="1" s="1"/>
  <c r="I149" i="1" l="1"/>
  <c r="I150" i="1" s="1"/>
  <c r="J135" i="1"/>
  <c r="J139" i="1" s="1"/>
  <c r="J148" i="1" s="1"/>
  <c r="K147" i="1"/>
  <c r="J134" i="1"/>
  <c r="K132" i="1"/>
  <c r="K138" i="1" s="1"/>
  <c r="K131" i="1"/>
  <c r="L129" i="1"/>
  <c r="L130" i="1" s="1"/>
  <c r="L146" i="1" s="1"/>
  <c r="L127" i="1"/>
  <c r="L137" i="1" s="1"/>
  <c r="M125" i="1"/>
  <c r="M126" i="1" s="1"/>
  <c r="J149" i="1" l="1"/>
  <c r="J150" i="1" s="1"/>
  <c r="K135" i="1"/>
  <c r="K139" i="1" s="1"/>
  <c r="K148" i="1" s="1"/>
  <c r="L147" i="1"/>
  <c r="K134" i="1"/>
  <c r="L132" i="1"/>
  <c r="L138" i="1" s="1"/>
  <c r="L131" i="1"/>
  <c r="M129" i="1"/>
  <c r="M130" i="1" s="1"/>
  <c r="M146" i="1" s="1"/>
  <c r="M127" i="1"/>
  <c r="M137" i="1" s="1"/>
  <c r="N125" i="1"/>
  <c r="N126" i="1" s="1"/>
  <c r="K149" i="1" l="1"/>
  <c r="K150" i="1" s="1"/>
  <c r="M147" i="1"/>
  <c r="L135" i="1"/>
  <c r="L139" i="1" s="1"/>
  <c r="L148" i="1" s="1"/>
  <c r="L134" i="1"/>
  <c r="M131" i="1"/>
  <c r="M132" i="1"/>
  <c r="M138" i="1" s="1"/>
  <c r="N127" i="1"/>
  <c r="N137" i="1" s="1"/>
  <c r="N129" i="1"/>
  <c r="N130" i="1" s="1"/>
  <c r="N146" i="1" s="1"/>
  <c r="L149" i="1" l="1"/>
  <c r="L150" i="1" s="1"/>
  <c r="M135" i="1"/>
  <c r="M139" i="1" s="1"/>
  <c r="M148" i="1" s="1"/>
  <c r="N147" i="1"/>
  <c r="M134" i="1"/>
  <c r="N131" i="1"/>
  <c r="N132" i="1"/>
  <c r="N138" i="1" s="1"/>
  <c r="M149" i="1" l="1"/>
  <c r="M150" i="1" s="1"/>
  <c r="N135" i="1"/>
  <c r="N139" i="1" s="1"/>
  <c r="N148" i="1" s="1"/>
  <c r="N134" i="1"/>
  <c r="N149" i="1" l="1"/>
  <c r="N150" i="1" s="1"/>
</calcChain>
</file>

<file path=xl/sharedStrings.xml><?xml version="1.0" encoding="utf-8"?>
<sst xmlns="http://schemas.openxmlformats.org/spreadsheetml/2006/main" count="214" uniqueCount="140">
  <si>
    <t>Cumulative Results</t>
  </si>
  <si>
    <t>NOTE:  All information contained in this document is for example only. Revenue and expense figures may vary significantly based on numerous factors.</t>
  </si>
  <si>
    <t>Total Revenues</t>
  </si>
  <si>
    <t>Rent</t>
  </si>
  <si>
    <t>YEAR 1</t>
  </si>
  <si>
    <t>YEAR 2</t>
  </si>
  <si>
    <t>Insurance</t>
  </si>
  <si>
    <t>Payroll</t>
  </si>
  <si>
    <t># of months Rent Abatement</t>
  </si>
  <si>
    <t>Down Payment at Club</t>
  </si>
  <si>
    <t xml:space="preserve">Total Membership Rev </t>
  </si>
  <si>
    <t>Recur Single Memb Rev</t>
  </si>
  <si>
    <t>(6) Single Members</t>
  </si>
  <si>
    <t>YEAR 3</t>
  </si>
  <si>
    <t>Advertising (Local)</t>
  </si>
  <si>
    <t>Month 1</t>
  </si>
  <si>
    <t>Month2</t>
  </si>
  <si>
    <t>Month3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</si>
  <si>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</si>
  <si>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</si>
  <si>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</si>
  <si>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</si>
  <si>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</si>
  <si>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</si>
  <si>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</si>
  <si>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</si>
  <si>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</si>
  <si>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Anytime Fitness, LLC</t>
  </si>
  <si>
    <t>Phone: 1-800-704-5004</t>
  </si>
  <si>
    <t>Minnesota Franchise #4424</t>
  </si>
  <si>
    <t>For New York Residents: This advertisement is not an offering. An offering can only be made by prospectus first</t>
  </si>
  <si>
    <t>filled with the department of Law of the State of New York. Such filing does not constitute approval by the department of law.</t>
  </si>
  <si>
    <t>Average Member Fee</t>
  </si>
  <si>
    <t>Bad Debt</t>
  </si>
  <si>
    <t>Attrition Rate</t>
  </si>
  <si>
    <t>Enrollment fee</t>
  </si>
  <si>
    <t>Enrollment Fees</t>
  </si>
  <si>
    <t>Monthly New Members</t>
  </si>
  <si>
    <t>Pay Per Visit "PPV" Members</t>
  </si>
  <si>
    <t>% of PPV Accounts</t>
  </si>
  <si>
    <t>Other Income Assumptions</t>
  </si>
  <si>
    <t>Membership Data Assumptions</t>
  </si>
  <si>
    <t>Accumulating Total Members</t>
  </si>
  <si>
    <t>Average PPV Fee</t>
  </si>
  <si>
    <t>PPV Attrition</t>
  </si>
  <si>
    <t>Member Attrition</t>
  </si>
  <si>
    <t>Accumulated Single Members</t>
  </si>
  <si>
    <t>Accumulated PPV Members</t>
  </si>
  <si>
    <t>111 Weir Drive</t>
  </si>
  <si>
    <t>Woodbury, MN 55125</t>
  </si>
  <si>
    <t>Vending Revenue</t>
  </si>
  <si>
    <t>Vending/Misc Revenues</t>
  </si>
  <si>
    <t>Vending Costs</t>
  </si>
  <si>
    <t>Vending COGS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</si>
  <si>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</si>
  <si>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</si>
  <si>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</si>
  <si>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</si>
  <si>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</si>
  <si>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</si>
  <si>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</si>
  <si>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</si>
  <si>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</si>
  <si>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</si>
  <si>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</si>
  <si>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</si>
  <si>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</si>
  <si>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</si>
  <si>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</si>
  <si>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</si>
  <si>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</si>
  <si>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</si>
  <si>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</si>
  <si>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</si>
  <si>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</si>
  <si>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</si>
  <si>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</si>
  <si>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</si>
  <si>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Member based Misc Revenue</t>
  </si>
  <si>
    <t>Acquired Single Members</t>
  </si>
  <si>
    <t>Acquired PPV Accounts</t>
  </si>
  <si>
    <t>Personal Training Commission %</t>
  </si>
  <si>
    <t>Personal Training Income/Member</t>
  </si>
  <si>
    <t>Net Income/(Loss)</t>
  </si>
  <si>
    <t>Personal Training Commissions</t>
  </si>
  <si>
    <t>Total COGS</t>
  </si>
  <si>
    <t>Payroll Expenses</t>
  </si>
  <si>
    <t>Property Expenses</t>
  </si>
  <si>
    <t>Professional Expenses</t>
  </si>
  <si>
    <t>Misc Expenses</t>
  </si>
  <si>
    <t>Gross Profit</t>
  </si>
  <si>
    <t>Operating Expenses</t>
  </si>
  <si>
    <t>Payroll - Taxes</t>
  </si>
  <si>
    <t>Payroll - Benefits</t>
  </si>
  <si>
    <t>Travel &amp; Entertainment</t>
  </si>
  <si>
    <t>Franchise Expenses</t>
  </si>
  <si>
    <t>Royalty Payments</t>
  </si>
  <si>
    <t>Software Support</t>
  </si>
  <si>
    <t>Advertising/Marketing</t>
  </si>
  <si>
    <t>Postage</t>
  </si>
  <si>
    <t>Utilities (Trash/Water/Electric/Gas)</t>
  </si>
  <si>
    <t>Taxes - Property</t>
  </si>
  <si>
    <t>Telephone</t>
  </si>
  <si>
    <t>Internet/Cable</t>
  </si>
  <si>
    <t xml:space="preserve">Insurance </t>
  </si>
  <si>
    <t>Legal &amp; Accounting</t>
  </si>
  <si>
    <t>Bank Fees</t>
  </si>
  <si>
    <t>Credit Card Fees</t>
  </si>
  <si>
    <t>Dues and Subscriptions</t>
  </si>
  <si>
    <t>Equipment Expense</t>
  </si>
  <si>
    <t>Office Supplies</t>
  </si>
  <si>
    <t>Repairs &amp; Maint</t>
  </si>
  <si>
    <t>&lt;Enter&gt;</t>
  </si>
  <si>
    <t>COGS Expense Assumptions</t>
  </si>
  <si>
    <t>General Ad Fund</t>
  </si>
  <si>
    <t>Base Technology Fee</t>
  </si>
  <si>
    <t>General Advertising Fee</t>
  </si>
  <si>
    <t>Monthly Franchise Fee</t>
  </si>
  <si>
    <t>Miscellaneous</t>
  </si>
  <si>
    <t>Property Taxes</t>
  </si>
  <si>
    <t>Professional Fees</t>
  </si>
  <si>
    <t>Bank/CC Fees</t>
  </si>
  <si>
    <t>Supplies</t>
  </si>
  <si>
    <t>Maintenace</t>
  </si>
  <si>
    <t>Rent/Property Expenses</t>
  </si>
  <si>
    <t>Payroll &amp; Employee Expenses</t>
  </si>
  <si>
    <t xml:space="preserve">Payroll </t>
  </si>
  <si>
    <t xml:space="preserve">Utilities </t>
  </si>
  <si>
    <r>
      <t>Expense Assumptions</t>
    </r>
    <r>
      <rPr>
        <b/>
        <sz val="11"/>
        <color rgb="FFFF0000"/>
        <rFont val="Arial"/>
        <family val="2"/>
      </rPr>
      <t xml:space="preserve"> (ENTER IN INPUT TAB)</t>
    </r>
  </si>
  <si>
    <t>Proximity Card Unit Price</t>
  </si>
  <si>
    <t>Bad Debt Percentage</t>
  </si>
  <si>
    <t>Total Expense</t>
  </si>
  <si>
    <t>Beginning Balance</t>
  </si>
  <si>
    <t xml:space="preserve"> Personal Training Revenues</t>
  </si>
  <si>
    <t>Payment processing</t>
  </si>
  <si>
    <t>Proximity Cards</t>
  </si>
  <si>
    <t xml:space="preserve">This calculator is provided in blank to prospective franchisees of Anytime Fitness.  All revenues and expense assumptions must be completed by prospective franchisees.  </t>
  </si>
  <si>
    <t>**$600 max per 2019 FDD</t>
  </si>
  <si>
    <r>
      <t xml:space="preserve">Anytime Fitness Full Size Unit Pro Forma Calculator </t>
    </r>
    <r>
      <rPr>
        <b/>
        <u/>
        <sz val="22"/>
        <rFont val="Arial"/>
        <family val="2"/>
      </rPr>
      <t>**Please See Footnotes Below Prior to Starting Exercise**</t>
    </r>
  </si>
  <si>
    <t>ENTER MONTHLY EXPENSE AMOUNTS BELOW BASED ON CURRENT PROFIT AND LOSS DATA PROVIDED BY THE SELLER OF THE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</si>
</sst>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$-409]#,##0_);\([$$-409]#,##0\)"/>
    <numFmt numFmtId="166" formatCode="&quot;$&quot;#,##0.00"/>
    <numFmt numFmtId="167" formatCode="#,##0;\(#,##0\)"/>
    <numFmt numFmtId="168" formatCode="[$-409]mmm\-yy;@"/>
    <numFmt numFmtId="169" formatCode="_(&quot;$&quot;* #,##0_);_(&quot;$&quot;* \(#,##0\);_(&quot;$&quot;* &quot;-&quot;??_);_(@_)"/>
  </numFmts>
  <fonts count="26" x14ac:knownFonts="1">
    <font>
      <sz val="10"/>
      <name val="Verdana"/>
    </font>
    <font>
      <sz val="10"/>
      <name val="Verdana"/>
      <family val="2"/>
    </font>
    <font>
      <sz val="8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12"/>
      <color indexed="11"/>
      <name val="Arial"/>
      <family val="2"/>
    </font>
    <font>
      <sz val="10"/>
      <name val="Verdana"/>
      <family val="2"/>
    </font>
    <font>
      <sz val="10"/>
      <color theme="3" tint="0.39997558519241921"/>
      <name val="Arial"/>
      <family val="2"/>
    </font>
    <font>
      <b/>
      <sz val="12"/>
      <color rgb="FFFF0000"/>
      <name val="Arial"/>
      <family val="2"/>
    </font>
    <font>
      <b/>
      <sz val="11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i/>
      <sz val="11"/>
      <color indexed="10"/>
      <name val="Arial"/>
      <family val="2"/>
    </font>
    <font>
      <u/>
      <sz val="11"/>
      <name val="Arial"/>
      <family val="2"/>
    </font>
    <font>
      <sz val="10"/>
      <color indexed="0"/>
      <name val="Arial"/>
      <family val="2"/>
    </font>
    <font>
      <sz val="10"/>
      <color rgb="FF0070C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  <font>
      <b/>
      <sz val="11"/>
      <color rgb="FFFF0000"/>
      <name val="Arial"/>
      <family val="2"/>
    </font>
    <font>
      <b/>
      <u/>
      <sz val="22"/>
      <name val="Arial"/>
      <family val="2"/>
    </font>
    <font>
      <u/>
      <sz val="10"/>
      <name val="Verdana"/>
      <family val="2"/>
    </font>
    <font>
      <b/>
      <u/>
      <sz val="12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7E61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16" fillId="0" borderId="0"/>
  </cellStyleXfs>
  <cellXfs count="109">
    <xf numFmtId="0" fontId="0" fillId="0" borderId="0" xfId="0"/>
    <xf numFmtId="0" fontId="3" fillId="0" borderId="0" xfId="0" applyFont="1"/>
    <xf numFmtId="0" fontId="3" fillId="2" borderId="0" xfId="0" applyFont="1" applyFill="1"/>
    <xf numFmtId="10" fontId="3" fillId="2" borderId="0" xfId="2" applyNumberFormat="1" applyFont="1" applyFill="1" applyBorder="1" applyAlignment="1">
      <alignment horizontal="left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3" borderId="0" xfId="0" applyFont="1" applyFill="1" applyAlignment="1" applyProtection="1">
      <alignment horizontal="center"/>
      <protection locked="0"/>
    </xf>
    <xf numFmtId="0" fontId="3" fillId="3" borderId="0" xfId="0" applyFont="1" applyFill="1"/>
    <xf numFmtId="0" fontId="10" fillId="3" borderId="0" xfId="0" applyFont="1" applyFill="1" applyAlignment="1"/>
    <xf numFmtId="0" fontId="11" fillId="2" borderId="0" xfId="0" applyFont="1" applyFill="1"/>
    <xf numFmtId="0" fontId="11" fillId="3" borderId="0" xfId="0" applyFont="1" applyFill="1"/>
    <xf numFmtId="0" fontId="11" fillId="0" borderId="0" xfId="0" applyFont="1"/>
    <xf numFmtId="0" fontId="11" fillId="2" borderId="7" xfId="0" applyFont="1" applyFill="1" applyBorder="1"/>
    <xf numFmtId="0" fontId="3" fillId="2" borderId="0" xfId="0" applyFont="1" applyFill="1" applyBorder="1" applyProtection="1"/>
    <xf numFmtId="0" fontId="11" fillId="2" borderId="7" xfId="0" applyFont="1" applyFill="1" applyBorder="1" applyAlignment="1">
      <alignment horizontal="right"/>
    </xf>
    <xf numFmtId="0" fontId="3" fillId="2" borderId="0" xfId="0" applyFont="1" applyFill="1" applyBorder="1"/>
    <xf numFmtId="5" fontId="3" fillId="2" borderId="0" xfId="1" applyNumberFormat="1" applyFont="1" applyFill="1" applyBorder="1" applyProtection="1"/>
    <xf numFmtId="0" fontId="11" fillId="2" borderId="0" xfId="0" applyFont="1" applyFill="1" applyBorder="1" applyAlignment="1">
      <alignment horizontal="right"/>
    </xf>
    <xf numFmtId="0" fontId="4" fillId="2" borderId="0" xfId="0" applyFont="1" applyFill="1"/>
    <xf numFmtId="0" fontId="5" fillId="2" borderId="0" xfId="0" applyFont="1" applyFill="1" applyAlignment="1" applyProtection="1">
      <alignment horizontal="center"/>
      <protection locked="0"/>
    </xf>
    <xf numFmtId="8" fontId="3" fillId="0" borderId="0" xfId="0" applyNumberFormat="1" applyFont="1"/>
    <xf numFmtId="0" fontId="11" fillId="4" borderId="1" xfId="0" applyFont="1" applyFill="1" applyBorder="1"/>
    <xf numFmtId="169" fontId="4" fillId="4" borderId="2" xfId="2" applyNumberFormat="1" applyFont="1" applyFill="1" applyBorder="1" applyAlignment="1">
      <alignment horizontal="justify"/>
    </xf>
    <xf numFmtId="0" fontId="3" fillId="2" borderId="13" xfId="0" applyFont="1" applyFill="1" applyBorder="1"/>
    <xf numFmtId="0" fontId="15" fillId="5" borderId="7" xfId="0" applyFont="1" applyFill="1" applyBorder="1" applyAlignment="1">
      <alignment horizontal="right"/>
    </xf>
    <xf numFmtId="168" fontId="3" fillId="5" borderId="0" xfId="0" applyNumberFormat="1" applyFont="1" applyFill="1" applyBorder="1" applyAlignment="1">
      <alignment horizontal="center"/>
    </xf>
    <xf numFmtId="168" fontId="16" fillId="5" borderId="13" xfId="4" applyNumberFormat="1" applyFont="1" applyFill="1" applyBorder="1" applyAlignment="1">
      <alignment horizontal="center"/>
    </xf>
    <xf numFmtId="168" fontId="16" fillId="5" borderId="14" xfId="4" applyNumberFormat="1" applyFont="1" applyFill="1" applyBorder="1" applyAlignment="1">
      <alignment horizontal="center"/>
    </xf>
    <xf numFmtId="0" fontId="11" fillId="5" borderId="7" xfId="0" applyFont="1" applyFill="1" applyBorder="1" applyAlignment="1">
      <alignment horizontal="right"/>
    </xf>
    <xf numFmtId="0" fontId="3" fillId="5" borderId="9" xfId="0" applyFont="1" applyFill="1" applyBorder="1" applyAlignment="1">
      <alignment horizontal="right"/>
    </xf>
    <xf numFmtId="1" fontId="3" fillId="5" borderId="11" xfId="0" applyNumberFormat="1" applyFont="1" applyFill="1" applyBorder="1" applyAlignment="1">
      <alignment horizontal="right"/>
    </xf>
    <xf numFmtId="164" fontId="3" fillId="5" borderId="9" xfId="1" applyNumberFormat="1" applyFont="1" applyFill="1" applyBorder="1" applyProtection="1"/>
    <xf numFmtId="0" fontId="12" fillId="5" borderId="7" xfId="0" applyFont="1" applyFill="1" applyBorder="1" applyAlignment="1">
      <alignment horizontal="right"/>
    </xf>
    <xf numFmtId="165" fontId="6" fillId="5" borderId="11" xfId="1" applyNumberFormat="1" applyFont="1" applyFill="1" applyBorder="1" applyProtection="1"/>
    <xf numFmtId="5" fontId="9" fillId="5" borderId="11" xfId="1" applyNumberFormat="1" applyFont="1" applyFill="1" applyBorder="1" applyProtection="1"/>
    <xf numFmtId="0" fontId="11" fillId="5" borderId="15" xfId="0" applyFont="1" applyFill="1" applyBorder="1" applyAlignment="1">
      <alignment horizontal="right"/>
    </xf>
    <xf numFmtId="168" fontId="16" fillId="5" borderId="9" xfId="4" applyNumberFormat="1" applyFont="1" applyFill="1" applyBorder="1" applyAlignment="1">
      <alignment horizontal="center"/>
    </xf>
    <xf numFmtId="0" fontId="3" fillId="0" borderId="6" xfId="0" applyFont="1" applyBorder="1"/>
    <xf numFmtId="0" fontId="11" fillId="4" borderId="18" xfId="0" applyFont="1" applyFill="1" applyBorder="1" applyAlignment="1">
      <alignment horizontal="right"/>
    </xf>
    <xf numFmtId="0" fontId="11" fillId="4" borderId="3" xfId="0" applyFont="1" applyFill="1" applyBorder="1" applyAlignment="1">
      <alignment horizontal="right"/>
    </xf>
    <xf numFmtId="0" fontId="11" fillId="4" borderId="20" xfId="0" applyFont="1" applyFill="1" applyBorder="1" applyAlignment="1">
      <alignment horizontal="right"/>
    </xf>
    <xf numFmtId="0" fontId="12" fillId="0" borderId="4" xfId="0" applyFont="1" applyBorder="1"/>
    <xf numFmtId="9" fontId="3" fillId="2" borderId="0" xfId="3" applyFont="1" applyFill="1" applyBorder="1" applyProtection="1"/>
    <xf numFmtId="7" fontId="3" fillId="2" borderId="0" xfId="1" applyNumberFormat="1" applyFont="1" applyFill="1" applyBorder="1" applyProtection="1"/>
    <xf numFmtId="0" fontId="18" fillId="5" borderId="7" xfId="0" applyFont="1" applyFill="1" applyBorder="1" applyAlignment="1">
      <alignment horizontal="right"/>
    </xf>
    <xf numFmtId="1" fontId="19" fillId="5" borderId="11" xfId="0" applyNumberFormat="1" applyFont="1" applyFill="1" applyBorder="1" applyAlignment="1">
      <alignment horizontal="right"/>
    </xf>
    <xf numFmtId="43" fontId="3" fillId="2" borderId="0" xfId="1" applyFont="1" applyFill="1" applyBorder="1" applyProtection="1"/>
    <xf numFmtId="164" fontId="3" fillId="5" borderId="11" xfId="1" applyNumberFormat="1" applyFont="1" applyFill="1" applyBorder="1" applyAlignment="1">
      <alignment horizontal="right"/>
    </xf>
    <xf numFmtId="164" fontId="3" fillId="5" borderId="11" xfId="0" applyNumberFormat="1" applyFont="1" applyFill="1" applyBorder="1" applyAlignment="1">
      <alignment horizontal="right"/>
    </xf>
    <xf numFmtId="0" fontId="11" fillId="0" borderId="7" xfId="0" applyFont="1" applyFill="1" applyBorder="1" applyAlignment="1">
      <alignment horizontal="right"/>
    </xf>
    <xf numFmtId="0" fontId="11" fillId="0" borderId="3" xfId="0" applyFont="1" applyFill="1" applyBorder="1" applyAlignment="1">
      <alignment horizontal="right"/>
    </xf>
    <xf numFmtId="0" fontId="3" fillId="6" borderId="9" xfId="0" applyFont="1" applyFill="1" applyBorder="1"/>
    <xf numFmtId="164" fontId="3" fillId="6" borderId="9" xfId="1" applyNumberFormat="1" applyFont="1" applyFill="1" applyBorder="1" applyProtection="1"/>
    <xf numFmtId="5" fontId="3" fillId="6" borderId="9" xfId="1" applyNumberFormat="1" applyFont="1" applyFill="1" applyBorder="1" applyProtection="1"/>
    <xf numFmtId="5" fontId="3" fillId="6" borderId="10" xfId="1" applyNumberFormat="1" applyFont="1" applyFill="1" applyBorder="1" applyProtection="1"/>
    <xf numFmtId="164" fontId="3" fillId="6" borderId="9" xfId="0" applyNumberFormat="1" applyFont="1" applyFill="1" applyBorder="1" applyAlignment="1">
      <alignment horizontal="right"/>
    </xf>
    <xf numFmtId="0" fontId="8" fillId="6" borderId="9" xfId="0" applyFont="1" applyFill="1" applyBorder="1" applyAlignment="1">
      <alignment horizontal="right"/>
    </xf>
    <xf numFmtId="166" fontId="3" fillId="6" borderId="9" xfId="0" applyNumberFormat="1" applyFont="1" applyFill="1" applyBorder="1"/>
    <xf numFmtId="0" fontId="19" fillId="6" borderId="9" xfId="0" applyFont="1" applyFill="1" applyBorder="1"/>
    <xf numFmtId="0" fontId="11" fillId="0" borderId="7" xfId="0" applyFont="1" applyBorder="1"/>
    <xf numFmtId="0" fontId="3" fillId="0" borderId="8" xfId="0" applyFont="1" applyBorder="1"/>
    <xf numFmtId="0" fontId="3" fillId="7" borderId="9" xfId="0" applyFont="1" applyFill="1" applyBorder="1" applyAlignment="1">
      <alignment horizontal="right"/>
    </xf>
    <xf numFmtId="0" fontId="3" fillId="7" borderId="2" xfId="0" applyFont="1" applyFill="1" applyBorder="1" applyAlignment="1">
      <alignment horizontal="right"/>
    </xf>
    <xf numFmtId="1" fontId="19" fillId="7" borderId="11" xfId="0" applyNumberFormat="1" applyFont="1" applyFill="1" applyBorder="1" applyAlignment="1">
      <alignment horizontal="right"/>
    </xf>
    <xf numFmtId="164" fontId="3" fillId="7" borderId="11" xfId="0" applyNumberFormat="1" applyFont="1" applyFill="1" applyBorder="1" applyAlignment="1">
      <alignment horizontal="right"/>
    </xf>
    <xf numFmtId="1" fontId="3" fillId="7" borderId="11" xfId="0" applyNumberFormat="1" applyFont="1" applyFill="1" applyBorder="1" applyAlignment="1">
      <alignment horizontal="right"/>
    </xf>
    <xf numFmtId="1" fontId="3" fillId="7" borderId="12" xfId="0" applyNumberFormat="1" applyFont="1" applyFill="1" applyBorder="1" applyAlignment="1">
      <alignment horizontal="right"/>
    </xf>
    <xf numFmtId="1" fontId="4" fillId="7" borderId="11" xfId="0" applyNumberFormat="1" applyFont="1" applyFill="1" applyBorder="1" applyAlignment="1">
      <alignment horizontal="right"/>
    </xf>
    <xf numFmtId="0" fontId="13" fillId="0" borderId="3" xfId="0" applyFont="1" applyFill="1" applyBorder="1" applyAlignment="1">
      <alignment horizontal="right"/>
    </xf>
    <xf numFmtId="0" fontId="13" fillId="0" borderId="20" xfId="0" applyFont="1" applyFill="1" applyBorder="1" applyAlignment="1">
      <alignment horizontal="right"/>
    </xf>
    <xf numFmtId="5" fontId="4" fillId="5" borderId="11" xfId="1" applyNumberFormat="1" applyFont="1" applyFill="1" applyBorder="1" applyProtection="1"/>
    <xf numFmtId="5" fontId="4" fillId="5" borderId="16" xfId="1" applyNumberFormat="1" applyFont="1" applyFill="1" applyBorder="1" applyProtection="1"/>
    <xf numFmtId="164" fontId="3" fillId="5" borderId="11" xfId="1" applyNumberFormat="1" applyFont="1" applyFill="1" applyBorder="1" applyProtection="1"/>
    <xf numFmtId="164" fontId="3" fillId="5" borderId="9" xfId="1" applyNumberFormat="1" applyFont="1" applyFill="1" applyBorder="1"/>
    <xf numFmtId="9" fontId="17" fillId="8" borderId="2" xfId="3" applyFont="1" applyFill="1" applyBorder="1" applyAlignment="1" applyProtection="1">
      <alignment horizontal="right"/>
      <protection locked="0"/>
    </xf>
    <xf numFmtId="43" fontId="17" fillId="8" borderId="17" xfId="1" applyNumberFormat="1" applyFont="1" applyFill="1" applyBorder="1" applyAlignment="1" applyProtection="1">
      <alignment horizontal="right"/>
      <protection locked="0"/>
    </xf>
    <xf numFmtId="39" fontId="17" fillId="8" borderId="2" xfId="1" applyNumberFormat="1" applyFont="1" applyFill="1" applyBorder="1" applyAlignment="1" applyProtection="1">
      <alignment horizontal="right"/>
      <protection locked="0"/>
    </xf>
    <xf numFmtId="43" fontId="17" fillId="8" borderId="2" xfId="1" applyNumberFormat="1" applyFont="1" applyFill="1" applyBorder="1" applyAlignment="1" applyProtection="1">
      <alignment horizontal="right"/>
      <protection locked="0"/>
    </xf>
    <xf numFmtId="164" fontId="17" fillId="8" borderId="2" xfId="1" applyNumberFormat="1" applyFont="1" applyFill="1" applyBorder="1" applyAlignment="1" applyProtection="1">
      <alignment horizontal="right"/>
      <protection locked="0"/>
    </xf>
    <xf numFmtId="164" fontId="17" fillId="8" borderId="17" xfId="1" applyNumberFormat="1" applyFont="1" applyFill="1" applyBorder="1" applyAlignment="1" applyProtection="1">
      <alignment horizontal="right"/>
      <protection locked="0"/>
    </xf>
    <xf numFmtId="9" fontId="17" fillId="8" borderId="17" xfId="3" applyFont="1" applyFill="1" applyBorder="1" applyAlignment="1" applyProtection="1">
      <alignment horizontal="right"/>
      <protection locked="0"/>
    </xf>
    <xf numFmtId="0" fontId="8" fillId="8" borderId="11" xfId="0" applyFont="1" applyFill="1" applyBorder="1" applyAlignment="1" applyProtection="1">
      <alignment horizontal="right"/>
      <protection locked="0"/>
    </xf>
    <xf numFmtId="0" fontId="8" fillId="8" borderId="9" xfId="0" applyFont="1" applyFill="1" applyBorder="1" applyAlignment="1" applyProtection="1">
      <alignment horizontal="right"/>
      <protection locked="0"/>
    </xf>
    <xf numFmtId="0" fontId="8" fillId="8" borderId="2" xfId="0" applyFont="1" applyFill="1" applyBorder="1" applyAlignment="1" applyProtection="1">
      <alignment horizontal="right"/>
      <protection locked="0"/>
    </xf>
    <xf numFmtId="164" fontId="17" fillId="8" borderId="19" xfId="1" applyNumberFormat="1" applyFont="1" applyFill="1" applyBorder="1" applyAlignment="1" applyProtection="1">
      <alignment horizontal="right"/>
      <protection locked="0"/>
    </xf>
    <xf numFmtId="165" fontId="6" fillId="9" borderId="9" xfId="1" applyNumberFormat="1" applyFont="1" applyFill="1" applyBorder="1" applyProtection="1"/>
    <xf numFmtId="5" fontId="9" fillId="9" borderId="9" xfId="1" applyNumberFormat="1" applyFont="1" applyFill="1" applyBorder="1" applyProtection="1"/>
    <xf numFmtId="0" fontId="4" fillId="9" borderId="0" xfId="0" applyFont="1" applyFill="1" applyBorder="1" applyAlignment="1">
      <alignment horizontal="center" wrapText="1"/>
    </xf>
    <xf numFmtId="43" fontId="3" fillId="5" borderId="11" xfId="1" applyNumberFormat="1" applyFont="1" applyFill="1" applyBorder="1" applyProtection="1"/>
    <xf numFmtId="164" fontId="19" fillId="0" borderId="2" xfId="1" applyNumberFormat="1" applyFont="1" applyFill="1" applyBorder="1" applyAlignment="1" applyProtection="1">
      <alignment horizontal="right"/>
    </xf>
    <xf numFmtId="164" fontId="3" fillId="9" borderId="9" xfId="1" applyNumberFormat="1" applyFont="1" applyFill="1" applyBorder="1" applyProtection="1">
      <protection locked="0"/>
    </xf>
    <xf numFmtId="1" fontId="19" fillId="9" borderId="9" xfId="0" applyNumberFormat="1" applyFont="1" applyFill="1" applyBorder="1" applyAlignment="1" applyProtection="1">
      <alignment horizontal="right"/>
      <protection locked="0"/>
    </xf>
    <xf numFmtId="164" fontId="3" fillId="9" borderId="9" xfId="0" applyNumberFormat="1" applyFont="1" applyFill="1" applyBorder="1" applyAlignment="1" applyProtection="1">
      <alignment horizontal="right"/>
      <protection locked="0"/>
    </xf>
    <xf numFmtId="1" fontId="3" fillId="9" borderId="9" xfId="0" applyNumberFormat="1" applyFont="1" applyFill="1" applyBorder="1" applyAlignment="1" applyProtection="1">
      <alignment horizontal="right"/>
      <protection locked="0"/>
    </xf>
    <xf numFmtId="1" fontId="4" fillId="9" borderId="9" xfId="0" applyNumberFormat="1" applyFont="1" applyFill="1" applyBorder="1" applyAlignment="1" applyProtection="1">
      <alignment horizontal="right"/>
      <protection locked="0"/>
    </xf>
    <xf numFmtId="0" fontId="0" fillId="2" borderId="0" xfId="0" applyFill="1"/>
    <xf numFmtId="0" fontId="1" fillId="2" borderId="0" xfId="0" applyFont="1" applyFill="1"/>
    <xf numFmtId="0" fontId="20" fillId="2" borderId="0" xfId="0" applyFont="1" applyFill="1"/>
    <xf numFmtId="0" fontId="21" fillId="2" borderId="0" xfId="0" applyFont="1" applyFill="1"/>
    <xf numFmtId="43" fontId="17" fillId="8" borderId="9" xfId="1" applyFont="1" applyFill="1" applyBorder="1" applyAlignment="1" applyProtection="1">
      <alignment horizontal="right"/>
      <protection locked="0"/>
    </xf>
    <xf numFmtId="44" fontId="20" fillId="0" borderId="9" xfId="2" applyFont="1" applyBorder="1"/>
    <xf numFmtId="44" fontId="20" fillId="0" borderId="0" xfId="2" applyFont="1" applyFill="1"/>
    <xf numFmtId="0" fontId="24" fillId="2" borderId="0" xfId="0" applyFont="1" applyFill="1"/>
    <xf numFmtId="0" fontId="25" fillId="2" borderId="0" xfId="0" applyFont="1" applyFill="1"/>
    <xf numFmtId="0" fontId="14" fillId="5" borderId="4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5" fillId="2" borderId="0" xfId="0" applyFont="1" applyFill="1" applyAlignment="1" applyProtection="1">
      <alignment horizontal="center"/>
      <protection locked="0"/>
    </xf>
    <xf numFmtId="0" fontId="10" fillId="3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FRxAmtStyle" xfId="4" xr:uid="{00000000-0005-0000-0000-000002000000}"/>
    <cellStyle name="Normal" xfId="0" builtinId="0"/>
    <cellStyle name="Percent" xfId="3" builtinId="5"/>
  </cellStyles>
  <dxfs count="12"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FFFF99"/>
      <color rgb="FFFFFFFF"/>
      <color rgb="FF7E61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4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YEAR 1 - Monthly Cash Flow</a:t>
            </a:r>
          </a:p>
        </c:rich>
      </c:tx>
      <c:layout>
        <c:manualLayout>
          <c:xMode val="edge"/>
          <c:yMode val="edge"/>
          <c:x val="0.39573322100915131"/>
          <c:y val="3.17177520191950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47038210757631"/>
          <c:y val="0.20323638116664036"/>
          <c:w val="0.88916294513998373"/>
          <c:h val="0.51356718165331239"/>
        </c:manualLayout>
      </c:layout>
      <c:lineChart>
        <c:grouping val="standard"/>
        <c:varyColors val="0"/>
        <c:ser>
          <c:idx val="1"/>
          <c:order val="0"/>
          <c:tx>
            <c:v>Revenue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'AF Projections'!$C$51:$N$51</c:f>
              <c:strCache>
                <c:ptCount val="12"/>
                <c:pt idx="0">
                  <c:v>Month 1</c:v>
                </c:pt>
                <c:pt idx="1">
                  <c:v>Month2</c:v>
                </c:pt>
                <c:pt idx="2">
                  <c:v>Month3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'AF Projections'!$C$66:$N$66</c:f>
              <c:numCache>
                <c:formatCode>[$$-409]#,##0_);\([$$-409]#,##0\)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9-4536-AC2A-1C68F28013D5}"/>
            </c:ext>
          </c:extLst>
        </c:ser>
        <c:ser>
          <c:idx val="0"/>
          <c:order val="1"/>
          <c:tx>
            <c:v>Expense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'AF Projections'!$C$51:$N$51</c:f>
              <c:strCache>
                <c:ptCount val="12"/>
                <c:pt idx="0">
                  <c:v>Month 1</c:v>
                </c:pt>
                <c:pt idx="1">
                  <c:v>Month2</c:v>
                </c:pt>
                <c:pt idx="2">
                  <c:v>Month3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'AF Projections'!$C$81:$N$81</c:f>
              <c:numCache>
                <c:formatCode>"$"#,##0_);\("$"#,##0\)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9-4536-AC2A-1C68F2801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565184"/>
        <c:axId val="402568448"/>
      </c:lineChart>
      <c:catAx>
        <c:axId val="40256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02568448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40256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[$$-409]#,##0_);\([$$-409]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0256518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  <a:sp3d>
      <a:bevelT/>
    </a:sp3d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4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YEAR 2 - Monthly Cash Flow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Revenue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'AF Projections'!$C$85:$N$85</c:f>
              <c:strCache>
                <c:ptCount val="12"/>
                <c:pt idx="0">
                  <c:v>Month 13</c:v>
                </c:pt>
                <c:pt idx="1">
                  <c:v>Month 14</c:v>
                </c:pt>
                <c:pt idx="2">
                  <c:v>Month 15</c:v>
                </c:pt>
                <c:pt idx="3">
                  <c:v>Month 16</c:v>
                </c:pt>
                <c:pt idx="4">
                  <c:v>Month 17</c:v>
                </c:pt>
                <c:pt idx="5">
                  <c:v>Month 18</c:v>
                </c:pt>
                <c:pt idx="6">
                  <c:v>Month 19</c:v>
                </c:pt>
                <c:pt idx="7">
                  <c:v>Month 20</c:v>
                </c:pt>
                <c:pt idx="8">
                  <c:v>Month 21</c:v>
                </c:pt>
                <c:pt idx="9">
                  <c:v>Month 22</c:v>
                </c:pt>
                <c:pt idx="10">
                  <c:v>Month 23</c:v>
                </c:pt>
                <c:pt idx="11">
                  <c:v>Month 24</c:v>
                </c:pt>
              </c:strCache>
            </c:strRef>
          </c:cat>
          <c:val>
            <c:numRef>
              <c:f>'AF Projections'!$C$100:$N$100</c:f>
              <c:numCache>
                <c:formatCode>[$$-409]#,##0_);\([$$-409]#,##0\)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EA-4F1D-83B4-B775A3A236DD}"/>
            </c:ext>
          </c:extLst>
        </c:ser>
        <c:ser>
          <c:idx val="0"/>
          <c:order val="1"/>
          <c:tx>
            <c:v>Expense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'AF Projections'!$C$85:$N$85</c:f>
              <c:strCache>
                <c:ptCount val="12"/>
                <c:pt idx="0">
                  <c:v>Month 13</c:v>
                </c:pt>
                <c:pt idx="1">
                  <c:v>Month 14</c:v>
                </c:pt>
                <c:pt idx="2">
                  <c:v>Month 15</c:v>
                </c:pt>
                <c:pt idx="3">
                  <c:v>Month 16</c:v>
                </c:pt>
                <c:pt idx="4">
                  <c:v>Month 17</c:v>
                </c:pt>
                <c:pt idx="5">
                  <c:v>Month 18</c:v>
                </c:pt>
                <c:pt idx="6">
                  <c:v>Month 19</c:v>
                </c:pt>
                <c:pt idx="7">
                  <c:v>Month 20</c:v>
                </c:pt>
                <c:pt idx="8">
                  <c:v>Month 21</c:v>
                </c:pt>
                <c:pt idx="9">
                  <c:v>Month 22</c:v>
                </c:pt>
                <c:pt idx="10">
                  <c:v>Month 23</c:v>
                </c:pt>
                <c:pt idx="11">
                  <c:v>Month 24</c:v>
                </c:pt>
              </c:strCache>
            </c:strRef>
          </c:cat>
          <c:val>
            <c:numRef>
              <c:f>'AF Projections'!$C$115:$N$115</c:f>
              <c:numCache>
                <c:formatCode>"$"#,##0_);\("$"#,##0\)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A-4F1D-83B4-B775A3A23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561920"/>
        <c:axId val="155046080"/>
      </c:lineChart>
      <c:catAx>
        <c:axId val="4025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5504608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55046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[$$-409]#,##0_);\([$$-409]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025619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  <a:sp3d>
      <a:bevelT/>
    </a:sp3d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4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YEAR 3 - Monthly Cash Flow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Revenue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'AF Projections'!$C$119:$N$119</c:f>
              <c:strCache>
                <c:ptCount val="12"/>
                <c:pt idx="0">
                  <c:v>Month 25</c:v>
                </c:pt>
                <c:pt idx="1">
                  <c:v>Month 26</c:v>
                </c:pt>
                <c:pt idx="2">
                  <c:v>Month 27</c:v>
                </c:pt>
                <c:pt idx="3">
                  <c:v>Month 28</c:v>
                </c:pt>
                <c:pt idx="4">
                  <c:v>Month 29</c:v>
                </c:pt>
                <c:pt idx="5">
                  <c:v>Month 30</c:v>
                </c:pt>
                <c:pt idx="6">
                  <c:v>Month 31</c:v>
                </c:pt>
                <c:pt idx="7">
                  <c:v>Month 32</c:v>
                </c:pt>
                <c:pt idx="8">
                  <c:v>Month 33</c:v>
                </c:pt>
                <c:pt idx="9">
                  <c:v>Month 34</c:v>
                </c:pt>
                <c:pt idx="10">
                  <c:v>Month 35</c:v>
                </c:pt>
                <c:pt idx="11">
                  <c:v>Month 36</c:v>
                </c:pt>
              </c:strCache>
            </c:strRef>
          </c:cat>
          <c:val>
            <c:numRef>
              <c:f>'AF Projections'!$C$134:$N$134</c:f>
              <c:numCache>
                <c:formatCode>[$$-409]#,##0_);\([$$-409]#,##0\)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D1-4329-B9D3-411460543DDA}"/>
            </c:ext>
          </c:extLst>
        </c:ser>
        <c:ser>
          <c:idx val="0"/>
          <c:order val="1"/>
          <c:tx>
            <c:v>Expense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'AF Projections'!$C$119:$N$119</c:f>
              <c:strCache>
                <c:ptCount val="12"/>
                <c:pt idx="0">
                  <c:v>Month 25</c:v>
                </c:pt>
                <c:pt idx="1">
                  <c:v>Month 26</c:v>
                </c:pt>
                <c:pt idx="2">
                  <c:v>Month 27</c:v>
                </c:pt>
                <c:pt idx="3">
                  <c:v>Month 28</c:v>
                </c:pt>
                <c:pt idx="4">
                  <c:v>Month 29</c:v>
                </c:pt>
                <c:pt idx="5">
                  <c:v>Month 30</c:v>
                </c:pt>
                <c:pt idx="6">
                  <c:v>Month 31</c:v>
                </c:pt>
                <c:pt idx="7">
                  <c:v>Month 32</c:v>
                </c:pt>
                <c:pt idx="8">
                  <c:v>Month 33</c:v>
                </c:pt>
                <c:pt idx="9">
                  <c:v>Month 34</c:v>
                </c:pt>
                <c:pt idx="10">
                  <c:v>Month 35</c:v>
                </c:pt>
                <c:pt idx="11">
                  <c:v>Month 36</c:v>
                </c:pt>
              </c:strCache>
            </c:strRef>
          </c:cat>
          <c:val>
            <c:numRef>
              <c:f>'AF Projections'!$C$148:$N$148</c:f>
              <c:numCache>
                <c:formatCode>"$"#,##0_);\("$"#,##0\)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1-4329-B9D3-411460543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43360"/>
        <c:axId val="155048256"/>
      </c:lineChart>
      <c:catAx>
        <c:axId val="15504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55048256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55048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[$$-409]#,##0_);\([$$-409]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550433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  <a:sp3d>
      <a:bevelT/>
    </a:sp3d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31751</xdr:colOff>
      <xdr:row>4</xdr:row>
      <xdr:rowOff>1</xdr:rowOff>
    </xdr:from>
    <xdr:to>
      <xdr:col>13</xdr:col>
      <xdr:colOff>518583</xdr:colOff>
      <xdr:row>18</xdr:row>
      <xdr:rowOff>0</xdr:rowOff>
    </xdr:to>
    <xdr:graphicFrame macro="">
      <xdr:nvGraphicFramePr>
        <xdr:cNvPr id="1037" name="Year 1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42332</xdr:colOff>
      <xdr:row>19</xdr:row>
      <xdr:rowOff>0</xdr:rowOff>
    </xdr:from>
    <xdr:to>
      <xdr:col>13</xdr:col>
      <xdr:colOff>529166</xdr:colOff>
      <xdr:row>31</xdr:row>
      <xdr:rowOff>170391</xdr:rowOff>
    </xdr:to>
    <xdr:graphicFrame macro="">
      <xdr:nvGraphicFramePr>
        <xdr:cNvPr id="1038" name="Year 1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251460</xdr:colOff>
          <xdr:row>152</xdr:row>
          <xdr:rowOff>0</xdr:rowOff>
        </xdr:from>
        <xdr:to>
          <xdr:col>10</xdr:col>
          <xdr:colOff>30480</xdr:colOff>
          <xdr:row>186</xdr:row>
          <xdr:rowOff>121920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C0C0" mc:Ignorable="a14" a14:legacySpreadsheetColorIndex="22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24740</xdr:colOff>
      <xdr:row>32</xdr:row>
      <xdr:rowOff>185551</xdr:rowOff>
    </xdr:from>
    <xdr:to>
      <xdr:col>13</xdr:col>
      <xdr:colOff>511574</xdr:colOff>
      <xdr:row>47</xdr:row>
      <xdr:rowOff>46689</xdr:rowOff>
    </xdr:to>
    <xdr:graphicFrame macro="">
      <xdr:nvGraphicFramePr>
        <xdr:cNvPr id="7" name="Year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0.00733</cdr:x>
      <cdr:y>0.02228</cdr:y>
    </cdr:from>
    <cdr:to>
      <cdr:x>0.09342</cdr:x>
      <cdr:y>0.12311</cdr:y>
    </cdr:to>
    <cdr:pic>
      <cdr:nvPicPr>
        <cdr:cNvPr id="3" name="Picture 2" descr="headerLogo.gif">
          <a:extLst xmlns:a="http://schemas.openxmlformats.org/drawingml/2006/main">
            <a:ext uri="{FF2B5EF4-FFF2-40B4-BE49-F238E27FC236}">
              <a16:creationId xmlns:a16="http://schemas.microsoft.com/office/drawing/2014/main" id="{ED95C192-AAEE-4E56-95E5-1C67304209D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619" y="57538"/>
          <a:ext cx="922781" cy="260377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0.00589</cdr:x>
      <cdr:y>0.01087</cdr:y>
    </cdr:from>
    <cdr:to>
      <cdr:x>0.09198</cdr:x>
      <cdr:y>0.1088</cdr:y>
    </cdr:to>
    <cdr:pic>
      <cdr:nvPicPr>
        <cdr:cNvPr id="3" name="Picture 2" descr="headerLogo.gif">
          <a:extLst xmlns:a="http://schemas.openxmlformats.org/drawingml/2006/main">
            <a:ext uri="{FF2B5EF4-FFF2-40B4-BE49-F238E27FC236}">
              <a16:creationId xmlns:a16="http://schemas.microsoft.com/office/drawing/2014/main" id="{F508397C-59B4-476A-9C81-FF5B60241AC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3500" y="31750"/>
          <a:ext cx="927519" cy="286157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0.00589</cdr:x>
      <cdr:y>0.01087</cdr:y>
    </cdr:from>
    <cdr:to>
      <cdr:x>0.09198</cdr:x>
      <cdr:y>0.1088</cdr:y>
    </cdr:to>
    <cdr:pic>
      <cdr:nvPicPr>
        <cdr:cNvPr id="3" name="Picture 2" descr="headerLogo.gif">
          <a:extLst xmlns:a="http://schemas.openxmlformats.org/drawingml/2006/main">
            <a:ext uri="{FF2B5EF4-FFF2-40B4-BE49-F238E27FC236}">
              <a16:creationId xmlns:a16="http://schemas.microsoft.com/office/drawing/2014/main" id="{FA90D431-2411-4475-A6E3-0BAEBBEAE40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3500" y="31750"/>
          <a:ext cx="927519" cy="286157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3" activeCellId="1" sqref="C32 D23"/>
    </sheetView>
  </sheetViews>
  <sheetFormatPr defaultRowHeight="12.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tabSelected="1" workbookViewId="0"/>
  </sheetViews>
  <sheetFormatPr defaultRowHeight="12.6" x14ac:dyDescent="0.2"/>
  <cols>
    <col min="1" max="1" width="6.26953125" customWidth="1"/>
    <col min="2" max="2" width="30.6328125" bestFit="1" customWidth="1"/>
    <col min="3" max="3" width="15.453125" customWidth="1"/>
    <col min="4" max="4" width="13.6328125" bestFit="1" customWidth="1"/>
  </cols>
  <sheetData>
    <row r="1" spans="1:12" ht="16.2" x14ac:dyDescent="0.3">
      <c r="A1" s="103" t="s">
        <v>139</v>
      </c>
      <c r="B1" s="102"/>
      <c r="C1" s="102"/>
      <c r="D1" s="102"/>
      <c r="E1" s="102"/>
      <c r="F1" s="102"/>
      <c r="G1" s="102"/>
      <c r="H1" s="102"/>
      <c r="I1" s="102"/>
      <c r="J1" s="95"/>
      <c r="K1" s="95"/>
      <c r="L1" s="95"/>
    </row>
    <row r="2" spans="1:12" x14ac:dyDescent="0.2">
      <c r="A2" s="96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2" ht="14.4" x14ac:dyDescent="0.3">
      <c r="A4" s="97" t="s">
        <v>91</v>
      </c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1:12" ht="14.4" x14ac:dyDescent="0.3">
      <c r="A5" s="98" t="s">
        <v>86</v>
      </c>
      <c r="B5" s="95"/>
      <c r="C5" s="101">
        <f>SUM(C6:C9)</f>
        <v>0</v>
      </c>
      <c r="D5" s="95"/>
      <c r="E5" s="95"/>
      <c r="F5" s="95"/>
      <c r="G5" s="95"/>
      <c r="H5" s="95"/>
      <c r="I5" s="95"/>
      <c r="J5" s="95"/>
      <c r="K5" s="95"/>
      <c r="L5" s="95"/>
    </row>
    <row r="6" spans="1:12" ht="13.2" x14ac:dyDescent="0.25">
      <c r="A6" s="95"/>
      <c r="B6" s="95" t="s">
        <v>7</v>
      </c>
      <c r="C6" s="99"/>
      <c r="D6" s="95"/>
      <c r="E6" s="95"/>
      <c r="F6" s="95"/>
      <c r="G6" s="95"/>
      <c r="H6" s="95"/>
      <c r="I6" s="95"/>
      <c r="J6" s="95"/>
      <c r="K6" s="95"/>
      <c r="L6" s="95"/>
    </row>
    <row r="7" spans="1:12" ht="13.2" x14ac:dyDescent="0.25">
      <c r="A7" s="95"/>
      <c r="B7" s="95" t="s">
        <v>92</v>
      </c>
      <c r="C7" s="99"/>
      <c r="D7" s="95"/>
      <c r="E7" s="95"/>
      <c r="F7" s="95"/>
      <c r="G7" s="95"/>
      <c r="H7" s="95"/>
      <c r="I7" s="95"/>
      <c r="J7" s="95"/>
      <c r="K7" s="95"/>
      <c r="L7" s="95"/>
    </row>
    <row r="8" spans="1:12" ht="13.2" x14ac:dyDescent="0.25">
      <c r="A8" s="95"/>
      <c r="B8" s="95" t="s">
        <v>93</v>
      </c>
      <c r="C8" s="99"/>
      <c r="D8" s="95"/>
      <c r="E8" s="95"/>
      <c r="F8" s="95"/>
      <c r="G8" s="95"/>
      <c r="H8" s="95"/>
      <c r="I8" s="95"/>
      <c r="J8" s="95"/>
      <c r="K8" s="95"/>
      <c r="L8" s="95"/>
    </row>
    <row r="9" spans="1:12" ht="13.2" x14ac:dyDescent="0.25">
      <c r="A9" s="95"/>
      <c r="B9" s="95" t="s">
        <v>94</v>
      </c>
      <c r="C9" s="99"/>
      <c r="D9" s="95"/>
      <c r="E9" s="95"/>
      <c r="F9" s="95"/>
      <c r="G9" s="95"/>
      <c r="H9" s="95"/>
      <c r="I9" s="95"/>
      <c r="J9" s="95"/>
      <c r="K9" s="95"/>
      <c r="L9" s="95"/>
    </row>
    <row r="10" spans="1:12" ht="14.4" x14ac:dyDescent="0.3">
      <c r="A10" s="98" t="s">
        <v>95</v>
      </c>
      <c r="B10" s="95"/>
      <c r="C10" s="100">
        <f>SUM(C11:C13)</f>
        <v>0</v>
      </c>
      <c r="D10" s="95"/>
      <c r="E10" s="95"/>
      <c r="F10" s="95"/>
      <c r="G10" s="95"/>
      <c r="H10" s="95"/>
      <c r="I10" s="95"/>
      <c r="J10" s="95"/>
      <c r="K10" s="95"/>
      <c r="L10" s="95"/>
    </row>
    <row r="11" spans="1:12" ht="13.2" x14ac:dyDescent="0.25">
      <c r="A11" s="95"/>
      <c r="B11" s="95" t="s">
        <v>96</v>
      </c>
      <c r="C11" s="99"/>
      <c r="D11" s="95"/>
      <c r="E11" s="95"/>
      <c r="F11" s="95"/>
      <c r="G11" s="95"/>
      <c r="H11" s="95"/>
      <c r="I11" s="95"/>
      <c r="J11" s="95"/>
      <c r="K11" s="95"/>
      <c r="L11" s="95"/>
    </row>
    <row r="12" spans="1:12" ht="13.2" x14ac:dyDescent="0.25">
      <c r="A12" s="95"/>
      <c r="B12" s="95" t="s">
        <v>97</v>
      </c>
      <c r="C12" s="99"/>
      <c r="D12" s="95"/>
      <c r="E12" s="95"/>
      <c r="F12" s="95"/>
      <c r="G12" s="95"/>
      <c r="H12" s="95"/>
      <c r="I12" s="95"/>
      <c r="J12" s="95"/>
      <c r="K12" s="95"/>
      <c r="L12" s="95"/>
    </row>
    <row r="13" spans="1:12" ht="13.2" x14ac:dyDescent="0.25">
      <c r="A13" s="95"/>
      <c r="B13" s="96" t="s">
        <v>114</v>
      </c>
      <c r="C13" s="99"/>
      <c r="D13" s="96" t="s">
        <v>137</v>
      </c>
      <c r="E13" s="95"/>
      <c r="F13" s="95"/>
      <c r="G13" s="95"/>
      <c r="H13" s="95"/>
      <c r="I13" s="95"/>
      <c r="J13" s="95"/>
      <c r="K13" s="95"/>
      <c r="L13" s="95"/>
    </row>
    <row r="14" spans="1:12" ht="14.4" x14ac:dyDescent="0.3">
      <c r="A14" s="98" t="s">
        <v>98</v>
      </c>
      <c r="B14" s="95"/>
      <c r="C14" s="100">
        <f>SUM(C15:C16)</f>
        <v>0</v>
      </c>
      <c r="D14" s="95"/>
      <c r="E14" s="95"/>
      <c r="F14" s="95"/>
      <c r="G14" s="95"/>
      <c r="H14" s="95"/>
      <c r="I14" s="95"/>
      <c r="J14" s="95"/>
      <c r="K14" s="95"/>
      <c r="L14" s="95"/>
    </row>
    <row r="15" spans="1:12" ht="13.2" x14ac:dyDescent="0.25">
      <c r="A15" s="95"/>
      <c r="B15" s="95" t="s">
        <v>98</v>
      </c>
      <c r="C15" s="99"/>
      <c r="D15" s="95"/>
      <c r="E15" s="95"/>
      <c r="F15" s="95"/>
      <c r="G15" s="95"/>
      <c r="H15" s="95"/>
      <c r="I15" s="95"/>
      <c r="J15" s="95"/>
      <c r="K15" s="95"/>
      <c r="L15" s="95"/>
    </row>
    <row r="16" spans="1:12" ht="13.2" x14ac:dyDescent="0.25">
      <c r="A16" s="95"/>
      <c r="B16" s="95" t="s">
        <v>99</v>
      </c>
      <c r="C16" s="99"/>
      <c r="D16" s="95"/>
      <c r="E16" s="95"/>
      <c r="F16" s="95"/>
      <c r="G16" s="95"/>
      <c r="H16" s="95"/>
      <c r="I16" s="95"/>
      <c r="J16" s="95"/>
      <c r="K16" s="95"/>
      <c r="L16" s="95"/>
    </row>
    <row r="17" spans="1:12" ht="14.4" x14ac:dyDescent="0.3">
      <c r="A17" s="98" t="s">
        <v>87</v>
      </c>
      <c r="B17" s="95"/>
      <c r="C17" s="100">
        <f>SUM(C18:C22)</f>
        <v>0</v>
      </c>
      <c r="D17" s="95"/>
      <c r="E17" s="95"/>
      <c r="F17" s="95"/>
      <c r="G17" s="95"/>
      <c r="H17" s="95"/>
      <c r="I17" s="95"/>
      <c r="J17" s="95"/>
      <c r="K17" s="95"/>
      <c r="L17" s="95"/>
    </row>
    <row r="18" spans="1:12" ht="13.2" x14ac:dyDescent="0.25">
      <c r="A18" s="95"/>
      <c r="B18" s="95" t="s">
        <v>3</v>
      </c>
      <c r="C18" s="99"/>
      <c r="D18" s="95"/>
      <c r="E18" s="95"/>
      <c r="F18" s="95"/>
      <c r="G18" s="95"/>
      <c r="H18" s="95"/>
      <c r="I18" s="95"/>
      <c r="J18" s="95"/>
      <c r="K18" s="95"/>
      <c r="L18" s="95"/>
    </row>
    <row r="19" spans="1:12" ht="13.2" x14ac:dyDescent="0.25">
      <c r="A19" s="95"/>
      <c r="B19" s="95" t="s">
        <v>101</v>
      </c>
      <c r="C19" s="99"/>
      <c r="D19" s="95"/>
      <c r="E19" s="95"/>
      <c r="F19" s="95"/>
      <c r="G19" s="95"/>
      <c r="H19" s="95"/>
      <c r="I19" s="95"/>
      <c r="J19" s="95"/>
      <c r="K19" s="95"/>
      <c r="L19" s="95"/>
    </row>
    <row r="20" spans="1:12" ht="13.2" x14ac:dyDescent="0.25">
      <c r="A20" s="95"/>
      <c r="B20" s="95" t="s">
        <v>100</v>
      </c>
      <c r="C20" s="99"/>
      <c r="D20" s="95"/>
      <c r="E20" s="95"/>
      <c r="F20" s="95"/>
      <c r="G20" s="95"/>
      <c r="H20" s="95"/>
      <c r="I20" s="95"/>
      <c r="J20" s="95"/>
      <c r="K20" s="95"/>
      <c r="L20" s="95"/>
    </row>
    <row r="21" spans="1:12" ht="13.2" x14ac:dyDescent="0.25">
      <c r="A21" s="95"/>
      <c r="B21" s="95" t="s">
        <v>102</v>
      </c>
      <c r="C21" s="99"/>
      <c r="D21" s="95"/>
      <c r="E21" s="95"/>
      <c r="F21" s="95"/>
      <c r="G21" s="95"/>
      <c r="H21" s="95"/>
      <c r="I21" s="95"/>
      <c r="J21" s="95"/>
      <c r="K21" s="95"/>
      <c r="L21" s="95"/>
    </row>
    <row r="22" spans="1:12" ht="13.2" x14ac:dyDescent="0.25">
      <c r="A22" s="95"/>
      <c r="B22" s="95" t="s">
        <v>103</v>
      </c>
      <c r="C22" s="99"/>
      <c r="D22" s="95"/>
      <c r="E22" s="95"/>
      <c r="F22" s="95"/>
      <c r="G22" s="95"/>
      <c r="H22" s="95"/>
      <c r="I22" s="95"/>
      <c r="J22" s="95"/>
      <c r="K22" s="95"/>
      <c r="L22" s="95"/>
    </row>
    <row r="23" spans="1:12" ht="14.4" x14ac:dyDescent="0.3">
      <c r="A23" s="98" t="s">
        <v>88</v>
      </c>
      <c r="B23" s="95"/>
      <c r="C23" s="100">
        <f>SUM(C24:C25)</f>
        <v>0</v>
      </c>
      <c r="D23" s="95"/>
      <c r="E23" s="95"/>
      <c r="F23" s="95"/>
      <c r="G23" s="95"/>
      <c r="H23" s="95"/>
      <c r="I23" s="95"/>
      <c r="J23" s="95"/>
      <c r="K23" s="95"/>
      <c r="L23" s="95"/>
    </row>
    <row r="24" spans="1:12" ht="13.2" x14ac:dyDescent="0.25">
      <c r="A24" s="95"/>
      <c r="B24" s="95" t="s">
        <v>104</v>
      </c>
      <c r="C24" s="99"/>
      <c r="D24" s="95"/>
      <c r="E24" s="95"/>
      <c r="F24" s="95"/>
      <c r="G24" s="95"/>
      <c r="H24" s="95"/>
      <c r="I24" s="95"/>
      <c r="J24" s="95"/>
      <c r="K24" s="95"/>
      <c r="L24" s="95"/>
    </row>
    <row r="25" spans="1:12" ht="13.2" x14ac:dyDescent="0.25">
      <c r="A25" s="95"/>
      <c r="B25" s="95" t="s">
        <v>105</v>
      </c>
      <c r="C25" s="99"/>
      <c r="D25" s="95"/>
      <c r="E25" s="95"/>
      <c r="F25" s="95"/>
      <c r="G25" s="95"/>
      <c r="H25" s="95"/>
      <c r="I25" s="95"/>
      <c r="J25" s="95"/>
      <c r="K25" s="95"/>
      <c r="L25" s="95"/>
    </row>
    <row r="26" spans="1:12" ht="14.4" x14ac:dyDescent="0.3">
      <c r="A26" s="98" t="s">
        <v>89</v>
      </c>
      <c r="B26" s="95"/>
      <c r="C26" s="100">
        <f>SUM(C27:C36)</f>
        <v>0</v>
      </c>
      <c r="D26" s="95"/>
      <c r="E26" s="95"/>
      <c r="F26" s="95"/>
      <c r="G26" s="95"/>
      <c r="H26" s="95"/>
      <c r="I26" s="95"/>
      <c r="J26" s="95"/>
      <c r="K26" s="95"/>
      <c r="L26" s="95"/>
    </row>
    <row r="27" spans="1:12" ht="13.2" x14ac:dyDescent="0.25">
      <c r="A27" s="95"/>
      <c r="B27" s="95" t="s">
        <v>106</v>
      </c>
      <c r="C27" s="99"/>
      <c r="D27" s="95"/>
      <c r="E27" s="95"/>
      <c r="F27" s="95"/>
      <c r="G27" s="95"/>
      <c r="H27" s="95"/>
      <c r="I27" s="95"/>
      <c r="J27" s="95"/>
      <c r="K27" s="95"/>
      <c r="L27" s="95"/>
    </row>
    <row r="28" spans="1:12" ht="13.2" x14ac:dyDescent="0.25">
      <c r="A28" s="95"/>
      <c r="B28" s="95" t="s">
        <v>107</v>
      </c>
      <c r="C28" s="99"/>
      <c r="D28" s="95"/>
      <c r="E28" s="95"/>
      <c r="F28" s="95"/>
      <c r="G28" s="95"/>
      <c r="H28" s="95"/>
      <c r="I28" s="95"/>
      <c r="J28" s="95"/>
      <c r="K28" s="95"/>
      <c r="L28" s="95"/>
    </row>
    <row r="29" spans="1:12" ht="13.2" x14ac:dyDescent="0.25">
      <c r="A29" s="95"/>
      <c r="B29" s="95" t="s">
        <v>108</v>
      </c>
      <c r="C29" s="99"/>
      <c r="D29" s="95"/>
      <c r="E29" s="95"/>
      <c r="F29" s="95"/>
      <c r="G29" s="95"/>
      <c r="H29" s="95"/>
      <c r="I29" s="95"/>
      <c r="J29" s="95"/>
      <c r="K29" s="95"/>
      <c r="L29" s="95"/>
    </row>
    <row r="30" spans="1:12" ht="13.2" x14ac:dyDescent="0.25">
      <c r="A30" s="95"/>
      <c r="B30" s="95" t="s">
        <v>109</v>
      </c>
      <c r="C30" s="99"/>
      <c r="D30" s="95"/>
      <c r="E30" s="95"/>
      <c r="F30" s="95"/>
      <c r="G30" s="95"/>
      <c r="H30" s="95"/>
      <c r="I30" s="95"/>
      <c r="J30" s="95"/>
      <c r="K30" s="95"/>
      <c r="L30" s="95"/>
    </row>
    <row r="31" spans="1:12" ht="13.2" x14ac:dyDescent="0.25">
      <c r="A31" s="95"/>
      <c r="B31" s="95" t="s">
        <v>110</v>
      </c>
      <c r="C31" s="99"/>
      <c r="D31" s="95"/>
      <c r="E31" s="95"/>
      <c r="F31" s="95"/>
      <c r="G31" s="95"/>
      <c r="H31" s="95"/>
      <c r="I31" s="95"/>
      <c r="J31" s="95"/>
      <c r="K31" s="95"/>
      <c r="L31" s="95"/>
    </row>
    <row r="32" spans="1:12" ht="13.2" x14ac:dyDescent="0.25">
      <c r="A32" s="95"/>
      <c r="B32" s="95" t="s">
        <v>111</v>
      </c>
      <c r="C32" s="99"/>
      <c r="D32" s="95"/>
      <c r="E32" s="95"/>
      <c r="F32" s="95"/>
      <c r="G32" s="95"/>
      <c r="H32" s="95"/>
      <c r="I32" s="95"/>
      <c r="J32" s="95"/>
      <c r="K32" s="95"/>
      <c r="L32" s="95"/>
    </row>
    <row r="33" spans="1:12" ht="13.2" x14ac:dyDescent="0.25">
      <c r="A33" s="95"/>
      <c r="B33" s="95" t="s">
        <v>112</v>
      </c>
      <c r="C33" s="99"/>
      <c r="D33" s="95"/>
      <c r="E33" s="95"/>
      <c r="F33" s="95"/>
      <c r="G33" s="95"/>
      <c r="H33" s="95"/>
      <c r="I33" s="95"/>
      <c r="J33" s="95"/>
      <c r="K33" s="95"/>
      <c r="L33" s="95"/>
    </row>
    <row r="34" spans="1:12" ht="13.2" x14ac:dyDescent="0.25">
      <c r="A34" s="95"/>
      <c r="B34" s="95" t="s">
        <v>112</v>
      </c>
      <c r="C34" s="99"/>
      <c r="D34" s="95"/>
      <c r="E34" s="95"/>
      <c r="F34" s="95"/>
      <c r="G34" s="95"/>
      <c r="H34" s="95"/>
      <c r="I34" s="95"/>
      <c r="J34" s="95"/>
      <c r="K34" s="95"/>
      <c r="L34" s="95"/>
    </row>
    <row r="35" spans="1:12" ht="13.2" x14ac:dyDescent="0.25">
      <c r="A35" s="95"/>
      <c r="B35" s="95" t="s">
        <v>112</v>
      </c>
      <c r="C35" s="99"/>
      <c r="D35" s="95"/>
      <c r="E35" s="95"/>
      <c r="F35" s="95"/>
      <c r="G35" s="95"/>
      <c r="H35" s="95"/>
      <c r="I35" s="95"/>
      <c r="J35" s="95"/>
      <c r="K35" s="95"/>
      <c r="L35" s="95"/>
    </row>
    <row r="36" spans="1:12" ht="13.2" x14ac:dyDescent="0.25">
      <c r="A36" s="95"/>
      <c r="B36" s="95" t="s">
        <v>112</v>
      </c>
      <c r="C36" s="99"/>
      <c r="D36" s="95"/>
      <c r="E36" s="95"/>
      <c r="F36" s="95"/>
      <c r="G36" s="95"/>
      <c r="H36" s="95"/>
      <c r="I36" s="95"/>
      <c r="J36" s="95"/>
      <c r="K36" s="95"/>
      <c r="L36" s="95"/>
    </row>
    <row r="37" spans="1:12" ht="14.4" x14ac:dyDescent="0.3">
      <c r="A37" s="95"/>
      <c r="B37" s="95"/>
      <c r="C37" s="100">
        <f>C5+C10+C14+C17+C23+C26</f>
        <v>0</v>
      </c>
      <c r="D37" s="95"/>
      <c r="E37" s="95"/>
      <c r="F37" s="95"/>
      <c r="G37" s="95"/>
      <c r="H37" s="95"/>
      <c r="I37" s="95"/>
      <c r="J37" s="95"/>
      <c r="K37" s="95"/>
      <c r="L37" s="95"/>
    </row>
    <row r="38" spans="1:12" x14ac:dyDescent="0.2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</row>
    <row r="39" spans="1:12" x14ac:dyDescent="0.2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</row>
  </sheetData>
  <sheetProtection algorithmName="SHA-512" hashValue="4pQRB+QIlW553ZGhizLJYTJe6Ix9hR9TTIfuC+rR36BpOLry1UApEaufpzoQ6wc4di+zd/+2XfP6lj4vwNggDQ==" saltValue="EUcvHT3Y/Mgp61qlzmtIc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7"/>
  <sheetViews>
    <sheetView topLeftCell="A25" zoomScale="77" zoomScaleNormal="77" workbookViewId="0">
      <selection activeCell="B33" sqref="B33"/>
    </sheetView>
  </sheetViews>
  <sheetFormatPr defaultColWidth="10.7265625" defaultRowHeight="13.8" outlineLevelRow="1" x14ac:dyDescent="0.25"/>
  <cols>
    <col min="1" max="1" width="31.90625" style="11" customWidth="1"/>
    <col min="2" max="2" width="13.36328125" style="1" customWidth="1"/>
    <col min="3" max="3" width="11.36328125" style="1" bestFit="1" customWidth="1"/>
    <col min="4" max="13" width="12.36328125" style="1" bestFit="1" customWidth="1"/>
    <col min="14" max="15" width="10.7265625" style="1"/>
    <col min="16" max="16" width="12" style="1" bestFit="1" customWidth="1"/>
    <col min="17" max="16384" width="10.7265625" style="1"/>
  </cols>
  <sheetData>
    <row r="1" spans="1:21" ht="28.2" x14ac:dyDescent="0.5">
      <c r="A1" s="107" t="s">
        <v>138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6"/>
      <c r="P1" s="16"/>
      <c r="Q1" s="16"/>
      <c r="R1" s="16"/>
      <c r="S1" s="16"/>
      <c r="T1" s="16"/>
      <c r="U1" s="16"/>
    </row>
    <row r="2" spans="1:21" ht="15.75" customHeight="1" x14ac:dyDescent="0.25">
      <c r="A2" s="108" t="s">
        <v>136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6"/>
      <c r="P2" s="16"/>
      <c r="Q2" s="16"/>
      <c r="R2" s="16"/>
      <c r="S2" s="16"/>
      <c r="T2" s="16"/>
      <c r="U2" s="16"/>
    </row>
    <row r="3" spans="1:21" ht="15.75" customHeight="1" x14ac:dyDescent="0.5">
      <c r="A3" s="8"/>
      <c r="B3" s="6"/>
      <c r="C3" s="19"/>
      <c r="D3" s="19"/>
      <c r="E3" s="19"/>
      <c r="F3" s="19"/>
      <c r="G3" s="19"/>
      <c r="H3" s="19"/>
      <c r="I3" s="19"/>
      <c r="J3" s="2"/>
      <c r="K3" s="2"/>
      <c r="L3" s="2"/>
      <c r="M3" s="2"/>
      <c r="N3" s="2"/>
      <c r="O3" s="16"/>
      <c r="P3" s="16"/>
      <c r="Q3" s="16"/>
      <c r="R3" s="16"/>
      <c r="S3" s="16"/>
      <c r="T3" s="16"/>
      <c r="U3" s="16"/>
    </row>
    <row r="4" spans="1:21" ht="14.4" thickBot="1" x14ac:dyDescent="0.3">
      <c r="A4" s="9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6"/>
      <c r="P4" s="16"/>
      <c r="Q4" s="16"/>
      <c r="R4" s="16"/>
      <c r="S4" s="16"/>
      <c r="T4" s="16"/>
      <c r="U4" s="16"/>
    </row>
    <row r="5" spans="1:21" x14ac:dyDescent="0.25">
      <c r="A5" s="41" t="s">
        <v>41</v>
      </c>
      <c r="B5" s="3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6"/>
      <c r="P5" s="16"/>
      <c r="Q5" s="16"/>
      <c r="R5" s="16"/>
      <c r="S5" s="16"/>
      <c r="T5" s="16"/>
      <c r="U5" s="16"/>
    </row>
    <row r="6" spans="1:21" x14ac:dyDescent="0.25">
      <c r="A6" s="39" t="s">
        <v>39</v>
      </c>
      <c r="B6" s="7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6"/>
      <c r="P6" s="16"/>
      <c r="Q6" s="16"/>
      <c r="R6" s="16"/>
      <c r="S6" s="16"/>
      <c r="T6" s="16"/>
      <c r="U6" s="16"/>
    </row>
    <row r="7" spans="1:21" x14ac:dyDescent="0.25">
      <c r="A7" s="39" t="s">
        <v>80</v>
      </c>
      <c r="B7" s="7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6"/>
      <c r="P7" s="16"/>
      <c r="Q7" s="16"/>
      <c r="R7" s="16"/>
      <c r="S7" s="16"/>
      <c r="T7" s="16"/>
      <c r="U7" s="16"/>
    </row>
    <row r="8" spans="1:21" x14ac:dyDescent="0.25">
      <c r="A8" s="39" t="s">
        <v>79</v>
      </c>
      <c r="B8" s="7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6"/>
      <c r="P8" s="16"/>
      <c r="Q8" s="16"/>
      <c r="R8" s="16"/>
      <c r="S8" s="16"/>
      <c r="T8" s="16"/>
      <c r="U8" s="16"/>
    </row>
    <row r="9" spans="1:21" x14ac:dyDescent="0.25">
      <c r="A9" s="39" t="s">
        <v>35</v>
      </c>
      <c r="B9" s="7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6"/>
      <c r="P9" s="16"/>
      <c r="Q9" s="16"/>
      <c r="R9" s="16"/>
      <c r="S9" s="16"/>
      <c r="T9" s="16"/>
      <c r="U9" s="16"/>
    </row>
    <row r="10" spans="1:21" x14ac:dyDescent="0.25">
      <c r="A10" s="39" t="s">
        <v>32</v>
      </c>
      <c r="B10" s="7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6"/>
      <c r="P10" s="16"/>
      <c r="Q10" s="16"/>
      <c r="R10" s="16"/>
      <c r="S10" s="16"/>
      <c r="T10" s="16"/>
      <c r="U10" s="16"/>
    </row>
    <row r="11" spans="1:21" x14ac:dyDescent="0.25">
      <c r="A11" s="39" t="s">
        <v>43</v>
      </c>
      <c r="B11" s="7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6"/>
      <c r="P11" s="16"/>
      <c r="Q11" s="16"/>
      <c r="R11" s="16"/>
      <c r="S11" s="16"/>
      <c r="T11" s="16"/>
      <c r="U11" s="16"/>
    </row>
    <row r="12" spans="1:21" x14ac:dyDescent="0.25">
      <c r="A12" s="59"/>
      <c r="B12" s="6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6"/>
      <c r="P12" s="16"/>
      <c r="Q12" s="16"/>
      <c r="R12" s="16"/>
      <c r="S12" s="16"/>
      <c r="T12" s="16"/>
      <c r="U12" s="16"/>
    </row>
    <row r="13" spans="1:21" ht="14.4" thickBot="1" x14ac:dyDescent="0.3">
      <c r="A13" s="40" t="s">
        <v>34</v>
      </c>
      <c r="B13" s="8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6"/>
      <c r="P13" s="16"/>
      <c r="Q13" s="16"/>
      <c r="R13" s="16"/>
      <c r="S13" s="16"/>
      <c r="T13" s="16"/>
      <c r="U13" s="16"/>
    </row>
    <row r="14" spans="1:21" x14ac:dyDescent="0.25">
      <c r="A14" s="59"/>
      <c r="B14" s="6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6"/>
      <c r="P14" s="16"/>
      <c r="Q14" s="16"/>
      <c r="R14" s="16"/>
      <c r="S14" s="16"/>
      <c r="T14" s="16"/>
      <c r="U14" s="16"/>
    </row>
    <row r="15" spans="1:21" ht="14.4" thickBot="1" x14ac:dyDescent="0.3">
      <c r="A15" s="59"/>
      <c r="B15" s="60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6"/>
      <c r="P15" s="16"/>
      <c r="Q15" s="16"/>
      <c r="R15" s="16"/>
      <c r="S15" s="16"/>
      <c r="T15" s="16"/>
      <c r="U15" s="16"/>
    </row>
    <row r="16" spans="1:21" x14ac:dyDescent="0.25">
      <c r="A16" s="41" t="s">
        <v>40</v>
      </c>
      <c r="B16" s="3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6"/>
      <c r="P16" s="16"/>
      <c r="Q16" s="16"/>
      <c r="R16" s="16"/>
      <c r="S16" s="16"/>
      <c r="T16" s="16"/>
      <c r="U16" s="16"/>
    </row>
    <row r="17" spans="1:21" x14ac:dyDescent="0.25">
      <c r="A17" s="39" t="s">
        <v>82</v>
      </c>
      <c r="B17" s="7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6"/>
      <c r="P17" s="16"/>
      <c r="Q17" s="16"/>
      <c r="R17" s="16"/>
      <c r="S17" s="16"/>
      <c r="T17" s="16"/>
      <c r="U17" s="16"/>
    </row>
    <row r="18" spans="1:21" x14ac:dyDescent="0.25">
      <c r="A18" s="50" t="s">
        <v>50</v>
      </c>
      <c r="B18" s="77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6"/>
      <c r="P18" s="16"/>
      <c r="Q18" s="16"/>
      <c r="R18" s="16"/>
      <c r="S18" s="16"/>
      <c r="T18" s="16"/>
      <c r="U18" s="16"/>
    </row>
    <row r="19" spans="1:21" ht="14.4" x14ac:dyDescent="0.3">
      <c r="A19" s="68" t="s">
        <v>78</v>
      </c>
      <c r="B19" s="7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6"/>
      <c r="P19" s="16"/>
      <c r="Q19" s="16"/>
      <c r="R19" s="16"/>
      <c r="S19" s="16"/>
      <c r="T19" s="16"/>
      <c r="U19" s="16"/>
    </row>
    <row r="20" spans="1:21" ht="15" thickBot="1" x14ac:dyDescent="0.35">
      <c r="A20" s="69" t="s">
        <v>78</v>
      </c>
      <c r="B20" s="7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6"/>
      <c r="P20" s="16"/>
      <c r="Q20" s="16"/>
      <c r="R20" s="16"/>
      <c r="S20" s="16"/>
      <c r="T20" s="16"/>
      <c r="U20" s="16"/>
    </row>
    <row r="21" spans="1:21" ht="14.4" thickBot="1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6"/>
      <c r="P21" s="16"/>
      <c r="Q21" s="16"/>
      <c r="R21" s="16"/>
      <c r="S21" s="16"/>
      <c r="T21" s="16"/>
      <c r="U21" s="16"/>
    </row>
    <row r="22" spans="1:21" x14ac:dyDescent="0.25">
      <c r="A22" s="41" t="s">
        <v>113</v>
      </c>
      <c r="B22" s="3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6"/>
      <c r="P22" s="16"/>
      <c r="Q22" s="16"/>
      <c r="R22" s="16"/>
      <c r="S22" s="16"/>
      <c r="T22" s="16"/>
      <c r="U22" s="16"/>
    </row>
    <row r="23" spans="1:21" x14ac:dyDescent="0.25">
      <c r="A23" s="39" t="s">
        <v>53</v>
      </c>
      <c r="B23" s="7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6"/>
      <c r="P23" s="16"/>
      <c r="Q23" s="16"/>
      <c r="R23" s="16"/>
      <c r="S23" s="16"/>
      <c r="T23" s="16"/>
      <c r="U23" s="16"/>
    </row>
    <row r="24" spans="1:21" x14ac:dyDescent="0.25">
      <c r="A24" s="39" t="s">
        <v>81</v>
      </c>
      <c r="B24" s="7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6"/>
      <c r="P24" s="16"/>
      <c r="Q24" s="16"/>
      <c r="R24" s="16"/>
      <c r="S24" s="16"/>
      <c r="T24" s="16"/>
      <c r="U24" s="16"/>
    </row>
    <row r="25" spans="1:21" ht="14.4" thickBot="1" x14ac:dyDescent="0.3">
      <c r="A25" s="40" t="s">
        <v>129</v>
      </c>
      <c r="B25" s="7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6"/>
      <c r="P25" s="16"/>
      <c r="Q25" s="16"/>
      <c r="R25" s="16"/>
      <c r="S25" s="16"/>
      <c r="T25" s="16"/>
      <c r="U25" s="16"/>
    </row>
    <row r="26" spans="1:21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6"/>
      <c r="P26" s="16"/>
      <c r="Q26" s="16"/>
      <c r="R26" s="16"/>
      <c r="S26" s="16"/>
      <c r="T26" s="16"/>
      <c r="U26" s="16"/>
    </row>
    <row r="27" spans="1:21" ht="14.4" thickBot="1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6"/>
      <c r="P27" s="16"/>
      <c r="Q27" s="16"/>
      <c r="R27" s="16"/>
      <c r="S27" s="16"/>
      <c r="T27" s="16"/>
      <c r="U27" s="16"/>
    </row>
    <row r="28" spans="1:21" x14ac:dyDescent="0.25">
      <c r="A28" s="41" t="s">
        <v>128</v>
      </c>
      <c r="B28" s="37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6"/>
      <c r="P28" s="16"/>
      <c r="Q28" s="16"/>
      <c r="R28" s="16"/>
      <c r="S28" s="16"/>
      <c r="T28" s="16"/>
      <c r="U28" s="16"/>
    </row>
    <row r="29" spans="1:21" x14ac:dyDescent="0.25">
      <c r="A29" s="21" t="s">
        <v>3</v>
      </c>
      <c r="B29" s="89">
        <f>RENT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6"/>
      <c r="P29" s="16"/>
      <c r="Q29" s="16"/>
      <c r="R29" s="16"/>
      <c r="S29" s="16"/>
      <c r="T29" s="16"/>
      <c r="U29" s="16"/>
    </row>
    <row r="30" spans="1:21" x14ac:dyDescent="0.25">
      <c r="A30" s="21" t="s">
        <v>117</v>
      </c>
      <c r="B30" s="89">
        <f>Input!C11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6"/>
      <c r="P30" s="16"/>
      <c r="Q30" s="16"/>
      <c r="R30" s="16"/>
      <c r="S30" s="16"/>
      <c r="T30" s="16"/>
      <c r="U30" s="16"/>
    </row>
    <row r="31" spans="1:21" x14ac:dyDescent="0.25">
      <c r="A31" s="21" t="s">
        <v>115</v>
      </c>
      <c r="B31" s="89">
        <f>Input!C12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6"/>
      <c r="P31" s="16"/>
      <c r="Q31" s="16"/>
      <c r="R31" s="16"/>
      <c r="S31" s="16"/>
      <c r="T31" s="16"/>
      <c r="U31" s="16"/>
    </row>
    <row r="32" spans="1:21" x14ac:dyDescent="0.25">
      <c r="A32" s="21" t="s">
        <v>116</v>
      </c>
      <c r="B32" s="89">
        <f>Input!C13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6"/>
      <c r="P32" s="16"/>
      <c r="Q32" s="16"/>
      <c r="R32" s="16"/>
      <c r="S32" s="16"/>
      <c r="T32" s="16"/>
      <c r="U32" s="16"/>
    </row>
    <row r="33" spans="1:21" x14ac:dyDescent="0.25">
      <c r="A33" s="21" t="s">
        <v>14</v>
      </c>
      <c r="B33" s="89">
        <f>Input!C14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6"/>
      <c r="P33" s="16"/>
      <c r="Q33" s="16"/>
      <c r="R33" s="16"/>
      <c r="S33" s="16"/>
      <c r="T33" s="16"/>
      <c r="U33" s="16"/>
    </row>
    <row r="34" spans="1:21" x14ac:dyDescent="0.25">
      <c r="A34" s="21" t="s">
        <v>126</v>
      </c>
      <c r="B34" s="89">
        <f>Input!C5</f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6"/>
      <c r="P34" s="16"/>
      <c r="Q34" s="16"/>
      <c r="R34" s="16"/>
      <c r="S34" s="16"/>
      <c r="T34" s="16"/>
      <c r="U34" s="16"/>
    </row>
    <row r="35" spans="1:21" x14ac:dyDescent="0.25">
      <c r="A35" s="21" t="s">
        <v>127</v>
      </c>
      <c r="B35" s="89">
        <f>SUM(Input!C20:C22)</f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6"/>
      <c r="P35" s="16"/>
      <c r="Q35" s="16"/>
      <c r="R35" s="16"/>
      <c r="S35" s="16"/>
      <c r="T35" s="16"/>
      <c r="U35" s="16"/>
    </row>
    <row r="36" spans="1:21" x14ac:dyDescent="0.25">
      <c r="A36" s="21" t="s">
        <v>119</v>
      </c>
      <c r="B36" s="89">
        <f>Input!C19</f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6"/>
      <c r="P36" s="16"/>
      <c r="Q36" s="16"/>
      <c r="R36" s="16"/>
      <c r="S36" s="16"/>
      <c r="T36" s="16"/>
      <c r="U36" s="16"/>
    </row>
    <row r="37" spans="1:21" x14ac:dyDescent="0.25">
      <c r="A37" s="21" t="s">
        <v>6</v>
      </c>
      <c r="B37" s="89">
        <f>Input!C24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6"/>
      <c r="P37" s="16"/>
      <c r="Q37" s="16"/>
      <c r="R37" s="16"/>
      <c r="S37" s="16"/>
      <c r="T37" s="16"/>
      <c r="U37" s="16"/>
    </row>
    <row r="38" spans="1:21" x14ac:dyDescent="0.25">
      <c r="A38" s="21" t="s">
        <v>120</v>
      </c>
      <c r="B38" s="89">
        <f>Input!C25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6"/>
      <c r="P38" s="16"/>
      <c r="Q38" s="16"/>
      <c r="R38" s="16"/>
      <c r="S38" s="16"/>
      <c r="T38" s="16"/>
      <c r="U38" s="16"/>
    </row>
    <row r="39" spans="1:21" x14ac:dyDescent="0.25">
      <c r="A39" s="21" t="s">
        <v>121</v>
      </c>
      <c r="B39" s="89">
        <f>Input!C27+Input!C28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6"/>
      <c r="P39" s="16"/>
      <c r="Q39" s="16"/>
      <c r="R39" s="16"/>
      <c r="S39" s="16"/>
      <c r="T39" s="16"/>
      <c r="U39" s="16"/>
    </row>
    <row r="40" spans="1:21" x14ac:dyDescent="0.25">
      <c r="A40" s="21" t="s">
        <v>122</v>
      </c>
      <c r="B40" s="89">
        <f>Input!C29+Input!C30+Input!C31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6"/>
      <c r="P40" s="16"/>
      <c r="Q40" s="16"/>
      <c r="R40" s="16"/>
      <c r="S40" s="16"/>
      <c r="T40" s="16"/>
      <c r="U40" s="16"/>
    </row>
    <row r="41" spans="1:21" x14ac:dyDescent="0.25">
      <c r="A41" s="21" t="s">
        <v>123</v>
      </c>
      <c r="B41" s="89">
        <f>Input!C32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6"/>
      <c r="P41" s="16"/>
      <c r="Q41" s="16"/>
      <c r="R41" s="16"/>
      <c r="S41" s="16"/>
      <c r="T41" s="16"/>
      <c r="U41" s="16"/>
    </row>
    <row r="42" spans="1:21" x14ac:dyDescent="0.25">
      <c r="A42" s="21" t="s">
        <v>118</v>
      </c>
      <c r="B42" s="89">
        <f>SUM(Input!C33:C36)</f>
        <v>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6"/>
      <c r="P42" s="16"/>
      <c r="Q42" s="16"/>
      <c r="R42" s="16"/>
      <c r="S42" s="16"/>
      <c r="T42" s="16"/>
      <c r="U42" s="16"/>
    </row>
    <row r="43" spans="1:21" x14ac:dyDescent="0.25">
      <c r="A43" s="21" t="s">
        <v>130</v>
      </c>
      <c r="B43" s="7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6"/>
      <c r="P43" s="16"/>
      <c r="Q43" s="16"/>
      <c r="R43" s="16"/>
      <c r="S43" s="16"/>
      <c r="T43" s="16"/>
      <c r="U43" s="16"/>
    </row>
    <row r="44" spans="1:21" ht="12.75" customHeight="1" x14ac:dyDescent="0.25">
      <c r="A44" s="21"/>
      <c r="B44" s="2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6"/>
      <c r="P44" s="16"/>
      <c r="Q44" s="16"/>
      <c r="R44" s="16"/>
      <c r="S44" s="16"/>
      <c r="T44" s="16"/>
      <c r="U44" s="16"/>
    </row>
    <row r="45" spans="1:21" ht="12.75" customHeight="1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6"/>
      <c r="P45" s="16"/>
      <c r="Q45" s="16"/>
      <c r="R45" s="16"/>
      <c r="S45" s="16"/>
      <c r="T45" s="16"/>
      <c r="U45" s="16"/>
    </row>
    <row r="46" spans="1:21" ht="12.75" customHeight="1" x14ac:dyDescent="0.25">
      <c r="A46" s="38" t="s">
        <v>8</v>
      </c>
      <c r="B46" s="8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6"/>
      <c r="P46" s="16"/>
      <c r="Q46" s="16"/>
      <c r="R46" s="16"/>
      <c r="S46" s="16"/>
      <c r="T46" s="16"/>
      <c r="U46" s="16"/>
    </row>
    <row r="47" spans="1:21" x14ac:dyDescent="0.25">
      <c r="A47" s="9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6"/>
      <c r="P47" s="16"/>
      <c r="Q47" s="16"/>
      <c r="R47" s="16"/>
      <c r="S47" s="16"/>
      <c r="T47" s="16"/>
      <c r="U47" s="16"/>
    </row>
    <row r="48" spans="1:21" ht="14.4" thickBot="1" x14ac:dyDescent="0.3">
      <c r="A48" s="9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6"/>
      <c r="P48" s="16"/>
      <c r="Q48" s="16"/>
      <c r="R48" s="16"/>
      <c r="S48" s="16"/>
      <c r="T48" s="16"/>
      <c r="U48" s="16"/>
    </row>
    <row r="49" spans="1:21" x14ac:dyDescent="0.25">
      <c r="A49" s="104" t="s">
        <v>1</v>
      </c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6"/>
      <c r="O49" s="16"/>
      <c r="P49" s="16"/>
      <c r="Q49" s="16"/>
      <c r="R49" s="16"/>
      <c r="S49" s="16"/>
      <c r="T49" s="16"/>
      <c r="U49" s="16"/>
    </row>
    <row r="50" spans="1:21" x14ac:dyDescent="0.25">
      <c r="A50" s="12"/>
      <c r="B50" s="2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6"/>
      <c r="P50" s="16"/>
      <c r="Q50" s="16"/>
      <c r="R50" s="16"/>
      <c r="S50" s="16"/>
      <c r="T50" s="16"/>
      <c r="U50" s="16"/>
    </row>
    <row r="51" spans="1:21" ht="26.4" x14ac:dyDescent="0.25">
      <c r="A51" s="24" t="s">
        <v>4</v>
      </c>
      <c r="B51" s="87" t="s">
        <v>132</v>
      </c>
      <c r="C51" s="25" t="s">
        <v>15</v>
      </c>
      <c r="D51" s="26" t="s">
        <v>16</v>
      </c>
      <c r="E51" s="26" t="s">
        <v>17</v>
      </c>
      <c r="F51" s="26" t="s">
        <v>18</v>
      </c>
      <c r="G51" s="26" t="s">
        <v>19</v>
      </c>
      <c r="H51" s="26" t="s">
        <v>20</v>
      </c>
      <c r="I51" s="26" t="s">
        <v>21</v>
      </c>
      <c r="J51" s="26" t="s">
        <v>22</v>
      </c>
      <c r="K51" s="26" t="s">
        <v>23</v>
      </c>
      <c r="L51" s="26" t="s">
        <v>24</v>
      </c>
      <c r="M51" s="26" t="s">
        <v>25</v>
      </c>
      <c r="N51" s="27" t="s">
        <v>26</v>
      </c>
      <c r="O51" s="16"/>
      <c r="P51" s="16"/>
      <c r="Q51" s="16"/>
      <c r="R51" s="16"/>
      <c r="S51" s="16"/>
      <c r="T51" s="16"/>
      <c r="U51" s="16"/>
    </row>
    <row r="52" spans="1:21" s="4" customFormat="1" x14ac:dyDescent="0.25">
      <c r="A52" s="28" t="s">
        <v>37</v>
      </c>
      <c r="B52" s="55"/>
      <c r="C52" s="81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3"/>
      <c r="O52" s="16"/>
      <c r="P52" s="16"/>
      <c r="Q52" s="16"/>
      <c r="R52" s="16"/>
      <c r="S52" s="16"/>
      <c r="T52" s="16"/>
      <c r="U52" s="16"/>
    </row>
    <row r="53" spans="1:21" s="5" customFormat="1" outlineLevel="1" x14ac:dyDescent="0.25">
      <c r="A53" s="28" t="s">
        <v>12</v>
      </c>
      <c r="B53" s="92">
        <v>0</v>
      </c>
      <c r="C53" s="61">
        <f t="shared" ref="C53:N53" si="0">ROUND((C52*(1-$B$6)),0)</f>
        <v>0</v>
      </c>
      <c r="D53" s="61">
        <f t="shared" si="0"/>
        <v>0</v>
      </c>
      <c r="E53" s="61">
        <f t="shared" si="0"/>
        <v>0</v>
      </c>
      <c r="F53" s="61">
        <f t="shared" si="0"/>
        <v>0</v>
      </c>
      <c r="G53" s="61">
        <f t="shared" si="0"/>
        <v>0</v>
      </c>
      <c r="H53" s="61">
        <f t="shared" si="0"/>
        <v>0</v>
      </c>
      <c r="I53" s="61">
        <f t="shared" si="0"/>
        <v>0</v>
      </c>
      <c r="J53" s="61">
        <f t="shared" si="0"/>
        <v>0</v>
      </c>
      <c r="K53" s="61">
        <f t="shared" si="0"/>
        <v>0</v>
      </c>
      <c r="L53" s="61">
        <f t="shared" si="0"/>
        <v>0</v>
      </c>
      <c r="M53" s="61">
        <f t="shared" si="0"/>
        <v>0</v>
      </c>
      <c r="N53" s="62">
        <f t="shared" si="0"/>
        <v>0</v>
      </c>
      <c r="O53" s="16"/>
      <c r="P53" s="16"/>
      <c r="Q53" s="16"/>
      <c r="R53" s="16"/>
      <c r="S53" s="16"/>
      <c r="T53" s="16"/>
      <c r="U53" s="16"/>
    </row>
    <row r="54" spans="1:21" s="5" customFormat="1" outlineLevel="1" x14ac:dyDescent="0.25">
      <c r="A54" s="44" t="s">
        <v>45</v>
      </c>
      <c r="B54" s="91">
        <v>0</v>
      </c>
      <c r="C54" s="63">
        <f t="shared" ref="C54:N54" si="1">-B55*($B$13/12)</f>
        <v>0</v>
      </c>
      <c r="D54" s="63">
        <f t="shared" si="1"/>
        <v>0</v>
      </c>
      <c r="E54" s="63">
        <f t="shared" si="1"/>
        <v>0</v>
      </c>
      <c r="F54" s="63">
        <f t="shared" si="1"/>
        <v>0</v>
      </c>
      <c r="G54" s="63">
        <f t="shared" si="1"/>
        <v>0</v>
      </c>
      <c r="H54" s="63">
        <f t="shared" si="1"/>
        <v>0</v>
      </c>
      <c r="I54" s="63">
        <f t="shared" si="1"/>
        <v>0</v>
      </c>
      <c r="J54" s="63">
        <f t="shared" si="1"/>
        <v>0</v>
      </c>
      <c r="K54" s="63">
        <f t="shared" si="1"/>
        <v>0</v>
      </c>
      <c r="L54" s="63">
        <f t="shared" si="1"/>
        <v>0</v>
      </c>
      <c r="M54" s="63">
        <f t="shared" si="1"/>
        <v>0</v>
      </c>
      <c r="N54" s="63">
        <f t="shared" si="1"/>
        <v>0</v>
      </c>
      <c r="O54" s="16"/>
      <c r="P54" s="16"/>
      <c r="Q54" s="16"/>
      <c r="R54" s="16"/>
      <c r="S54" s="16"/>
      <c r="T54" s="16"/>
      <c r="U54" s="16"/>
    </row>
    <row r="55" spans="1:21" s="5" customFormat="1" outlineLevel="1" x14ac:dyDescent="0.25">
      <c r="A55" s="28" t="s">
        <v>46</v>
      </c>
      <c r="B55" s="92">
        <f>B8</f>
        <v>0</v>
      </c>
      <c r="C55" s="64">
        <f>B55+C53+C54</f>
        <v>0</v>
      </c>
      <c r="D55" s="64">
        <f t="shared" ref="D55:M55" si="2">C55+D53+D54</f>
        <v>0</v>
      </c>
      <c r="E55" s="64">
        <f t="shared" si="2"/>
        <v>0</v>
      </c>
      <c r="F55" s="64">
        <f t="shared" si="2"/>
        <v>0</v>
      </c>
      <c r="G55" s="64">
        <f t="shared" si="2"/>
        <v>0</v>
      </c>
      <c r="H55" s="64">
        <f t="shared" si="2"/>
        <v>0</v>
      </c>
      <c r="I55" s="64">
        <f t="shared" si="2"/>
        <v>0</v>
      </c>
      <c r="J55" s="64">
        <f t="shared" si="2"/>
        <v>0</v>
      </c>
      <c r="K55" s="64">
        <f t="shared" si="2"/>
        <v>0</v>
      </c>
      <c r="L55" s="64">
        <f t="shared" si="2"/>
        <v>0</v>
      </c>
      <c r="M55" s="64">
        <f t="shared" si="2"/>
        <v>0</v>
      </c>
      <c r="N55" s="64">
        <f>M55+N53+N54</f>
        <v>0</v>
      </c>
      <c r="O55" s="16"/>
      <c r="P55" s="16"/>
      <c r="Q55" s="16"/>
      <c r="R55" s="16"/>
      <c r="S55" s="16"/>
      <c r="T55" s="16"/>
      <c r="U55" s="16"/>
    </row>
    <row r="56" spans="1:21" s="5" customFormat="1" outlineLevel="1" x14ac:dyDescent="0.25">
      <c r="A56" s="28" t="s">
        <v>38</v>
      </c>
      <c r="B56" s="93">
        <v>0</v>
      </c>
      <c r="C56" s="65">
        <f t="shared" ref="C56:N56" si="3">ROUND(C52*$B$6,0)</f>
        <v>0</v>
      </c>
      <c r="D56" s="65">
        <f t="shared" si="3"/>
        <v>0</v>
      </c>
      <c r="E56" s="65">
        <f t="shared" si="3"/>
        <v>0</v>
      </c>
      <c r="F56" s="65">
        <f t="shared" si="3"/>
        <v>0</v>
      </c>
      <c r="G56" s="65">
        <f t="shared" si="3"/>
        <v>0</v>
      </c>
      <c r="H56" s="65">
        <f t="shared" si="3"/>
        <v>0</v>
      </c>
      <c r="I56" s="65">
        <f t="shared" si="3"/>
        <v>0</v>
      </c>
      <c r="J56" s="65">
        <f t="shared" si="3"/>
        <v>0</v>
      </c>
      <c r="K56" s="65">
        <f t="shared" si="3"/>
        <v>0</v>
      </c>
      <c r="L56" s="65">
        <f t="shared" si="3"/>
        <v>0</v>
      </c>
      <c r="M56" s="65">
        <f t="shared" si="3"/>
        <v>0</v>
      </c>
      <c r="N56" s="66">
        <f t="shared" si="3"/>
        <v>0</v>
      </c>
      <c r="O56" s="16"/>
      <c r="P56" s="16"/>
      <c r="Q56" s="16"/>
      <c r="R56" s="16"/>
      <c r="S56" s="16"/>
      <c r="T56" s="16"/>
      <c r="U56" s="16"/>
    </row>
    <row r="57" spans="1:21" s="5" customFormat="1" outlineLevel="1" x14ac:dyDescent="0.25">
      <c r="A57" s="44" t="s">
        <v>44</v>
      </c>
      <c r="B57" s="91">
        <v>0</v>
      </c>
      <c r="C57" s="63">
        <f t="shared" ref="C57:N57" si="4">-B58*($B$13/12)</f>
        <v>0</v>
      </c>
      <c r="D57" s="63">
        <f t="shared" si="4"/>
        <v>0</v>
      </c>
      <c r="E57" s="63">
        <f t="shared" si="4"/>
        <v>0</v>
      </c>
      <c r="F57" s="63">
        <f t="shared" si="4"/>
        <v>0</v>
      </c>
      <c r="G57" s="63">
        <f t="shared" si="4"/>
        <v>0</v>
      </c>
      <c r="H57" s="63">
        <f t="shared" si="4"/>
        <v>0</v>
      </c>
      <c r="I57" s="63">
        <f t="shared" si="4"/>
        <v>0</v>
      </c>
      <c r="J57" s="63">
        <f t="shared" si="4"/>
        <v>0</v>
      </c>
      <c r="K57" s="63">
        <f t="shared" si="4"/>
        <v>0</v>
      </c>
      <c r="L57" s="63">
        <f t="shared" si="4"/>
        <v>0</v>
      </c>
      <c r="M57" s="63">
        <f t="shared" si="4"/>
        <v>0</v>
      </c>
      <c r="N57" s="63">
        <f t="shared" si="4"/>
        <v>0</v>
      </c>
      <c r="O57" s="16"/>
      <c r="P57" s="16"/>
      <c r="Q57" s="16"/>
      <c r="R57" s="16"/>
      <c r="S57" s="16"/>
      <c r="T57" s="16"/>
      <c r="U57" s="16"/>
    </row>
    <row r="58" spans="1:21" s="5" customFormat="1" outlineLevel="1" x14ac:dyDescent="0.25">
      <c r="A58" s="28" t="s">
        <v>47</v>
      </c>
      <c r="B58" s="93">
        <f>B7</f>
        <v>0</v>
      </c>
      <c r="C58" s="65">
        <f>B58+C56+C57</f>
        <v>0</v>
      </c>
      <c r="D58" s="65">
        <f t="shared" ref="D58:N58" si="5">C58+D56+D57</f>
        <v>0</v>
      </c>
      <c r="E58" s="65">
        <f t="shared" si="5"/>
        <v>0</v>
      </c>
      <c r="F58" s="65">
        <f t="shared" si="5"/>
        <v>0</v>
      </c>
      <c r="G58" s="65">
        <f t="shared" si="5"/>
        <v>0</v>
      </c>
      <c r="H58" s="65">
        <f t="shared" si="5"/>
        <v>0</v>
      </c>
      <c r="I58" s="65">
        <f t="shared" si="5"/>
        <v>0</v>
      </c>
      <c r="J58" s="65">
        <f t="shared" si="5"/>
        <v>0</v>
      </c>
      <c r="K58" s="65">
        <f t="shared" si="5"/>
        <v>0</v>
      </c>
      <c r="L58" s="65">
        <f t="shared" si="5"/>
        <v>0</v>
      </c>
      <c r="M58" s="65">
        <f t="shared" si="5"/>
        <v>0</v>
      </c>
      <c r="N58" s="65">
        <f t="shared" si="5"/>
        <v>0</v>
      </c>
      <c r="O58" s="16"/>
      <c r="P58" s="43"/>
      <c r="Q58" s="16"/>
      <c r="R58" s="16"/>
      <c r="S58" s="16"/>
      <c r="T58" s="16"/>
      <c r="U58" s="16"/>
    </row>
    <row r="59" spans="1:21" s="5" customFormat="1" x14ac:dyDescent="0.25">
      <c r="A59" s="32" t="s">
        <v>42</v>
      </c>
      <c r="B59" s="94">
        <f>B55+B58</f>
        <v>0</v>
      </c>
      <c r="C59" s="67">
        <f>C58+C55</f>
        <v>0</v>
      </c>
      <c r="D59" s="67">
        <f t="shared" ref="D59:N59" si="6">D58+D55</f>
        <v>0</v>
      </c>
      <c r="E59" s="67">
        <f t="shared" si="6"/>
        <v>0</v>
      </c>
      <c r="F59" s="67">
        <f t="shared" si="6"/>
        <v>0</v>
      </c>
      <c r="G59" s="67">
        <f t="shared" si="6"/>
        <v>0</v>
      </c>
      <c r="H59" s="67">
        <f t="shared" si="6"/>
        <v>0</v>
      </c>
      <c r="I59" s="67">
        <f t="shared" si="6"/>
        <v>0</v>
      </c>
      <c r="J59" s="67">
        <f t="shared" si="6"/>
        <v>0</v>
      </c>
      <c r="K59" s="67">
        <f t="shared" si="6"/>
        <v>0</v>
      </c>
      <c r="L59" s="67">
        <f t="shared" si="6"/>
        <v>0</v>
      </c>
      <c r="M59" s="67">
        <f t="shared" si="6"/>
        <v>0</v>
      </c>
      <c r="N59" s="67">
        <f t="shared" si="6"/>
        <v>0</v>
      </c>
      <c r="O59" s="42"/>
      <c r="P59" s="16"/>
      <c r="Q59" s="16"/>
      <c r="R59" s="16"/>
      <c r="S59" s="16"/>
      <c r="T59" s="16"/>
      <c r="U59" s="16"/>
    </row>
    <row r="60" spans="1:21" x14ac:dyDescent="0.25">
      <c r="A60" s="28" t="s">
        <v>11</v>
      </c>
      <c r="B60" s="90"/>
      <c r="C60" s="72">
        <f>C55*$B$10</f>
        <v>0</v>
      </c>
      <c r="D60" s="72">
        <f t="shared" ref="D60:N60" si="7">D55*$B$10</f>
        <v>0</v>
      </c>
      <c r="E60" s="72">
        <f t="shared" si="7"/>
        <v>0</v>
      </c>
      <c r="F60" s="72">
        <f t="shared" si="7"/>
        <v>0</v>
      </c>
      <c r="G60" s="72">
        <f t="shared" si="7"/>
        <v>0</v>
      </c>
      <c r="H60" s="72">
        <f t="shared" si="7"/>
        <v>0</v>
      </c>
      <c r="I60" s="72">
        <f t="shared" si="7"/>
        <v>0</v>
      </c>
      <c r="J60" s="72">
        <f t="shared" si="7"/>
        <v>0</v>
      </c>
      <c r="K60" s="72">
        <f t="shared" si="7"/>
        <v>0</v>
      </c>
      <c r="L60" s="72">
        <f t="shared" si="7"/>
        <v>0</v>
      </c>
      <c r="M60" s="72">
        <f t="shared" si="7"/>
        <v>0</v>
      </c>
      <c r="N60" s="72">
        <f t="shared" si="7"/>
        <v>0</v>
      </c>
      <c r="O60" s="16"/>
      <c r="P60" s="46"/>
      <c r="Q60" s="16"/>
      <c r="R60" s="16"/>
      <c r="S60" s="16"/>
      <c r="T60" s="16"/>
      <c r="U60" s="16"/>
    </row>
    <row r="61" spans="1:21" x14ac:dyDescent="0.25">
      <c r="A61" s="28" t="s">
        <v>9</v>
      </c>
      <c r="B61" s="90"/>
      <c r="C61" s="72">
        <f t="shared" ref="C61:N61" si="8">(C58*$B$11)</f>
        <v>0</v>
      </c>
      <c r="D61" s="72">
        <f t="shared" si="8"/>
        <v>0</v>
      </c>
      <c r="E61" s="72">
        <f t="shared" si="8"/>
        <v>0</v>
      </c>
      <c r="F61" s="72">
        <f t="shared" si="8"/>
        <v>0</v>
      </c>
      <c r="G61" s="72">
        <f t="shared" si="8"/>
        <v>0</v>
      </c>
      <c r="H61" s="72">
        <f t="shared" si="8"/>
        <v>0</v>
      </c>
      <c r="I61" s="72">
        <f t="shared" si="8"/>
        <v>0</v>
      </c>
      <c r="J61" s="72">
        <f t="shared" si="8"/>
        <v>0</v>
      </c>
      <c r="K61" s="72">
        <f t="shared" si="8"/>
        <v>0</v>
      </c>
      <c r="L61" s="72">
        <f t="shared" si="8"/>
        <v>0</v>
      </c>
      <c r="M61" s="72">
        <f t="shared" si="8"/>
        <v>0</v>
      </c>
      <c r="N61" s="72">
        <f t="shared" si="8"/>
        <v>0</v>
      </c>
      <c r="O61" s="16"/>
      <c r="P61" s="16"/>
      <c r="Q61" s="16"/>
      <c r="R61" s="16"/>
      <c r="S61" s="16"/>
      <c r="T61" s="16"/>
      <c r="U61" s="16"/>
    </row>
    <row r="62" spans="1:21" x14ac:dyDescent="0.25">
      <c r="A62" s="28" t="s">
        <v>10</v>
      </c>
      <c r="B62" s="90"/>
      <c r="C62" s="72">
        <f>SUM(C60:C61)</f>
        <v>0</v>
      </c>
      <c r="D62" s="72">
        <f t="shared" ref="D62:N62" si="9">SUM(D60:D61)</f>
        <v>0</v>
      </c>
      <c r="E62" s="72">
        <f t="shared" si="9"/>
        <v>0</v>
      </c>
      <c r="F62" s="72">
        <f t="shared" si="9"/>
        <v>0</v>
      </c>
      <c r="G62" s="72">
        <f t="shared" si="9"/>
        <v>0</v>
      </c>
      <c r="H62" s="72">
        <f t="shared" si="9"/>
        <v>0</v>
      </c>
      <c r="I62" s="72">
        <f t="shared" si="9"/>
        <v>0</v>
      </c>
      <c r="J62" s="72">
        <f t="shared" si="9"/>
        <v>0</v>
      </c>
      <c r="K62" s="72">
        <f t="shared" si="9"/>
        <v>0</v>
      </c>
      <c r="L62" s="72">
        <f t="shared" si="9"/>
        <v>0</v>
      </c>
      <c r="M62" s="72">
        <f t="shared" si="9"/>
        <v>0</v>
      </c>
      <c r="N62" s="72">
        <f t="shared" si="9"/>
        <v>0</v>
      </c>
      <c r="O62" s="16"/>
      <c r="P62" s="16"/>
      <c r="Q62" s="16"/>
      <c r="R62" s="16"/>
      <c r="S62" s="16"/>
      <c r="T62" s="16"/>
      <c r="U62" s="16"/>
    </row>
    <row r="63" spans="1:21" x14ac:dyDescent="0.25">
      <c r="A63" s="28" t="s">
        <v>51</v>
      </c>
      <c r="B63" s="90"/>
      <c r="C63" s="72">
        <f t="shared" ref="C63:N63" si="10">(+C59*$B$18)+(C59*$B$19)+(C59*$B$20)</f>
        <v>0</v>
      </c>
      <c r="D63" s="72">
        <f t="shared" si="10"/>
        <v>0</v>
      </c>
      <c r="E63" s="72">
        <f t="shared" si="10"/>
        <v>0</v>
      </c>
      <c r="F63" s="72">
        <f t="shared" si="10"/>
        <v>0</v>
      </c>
      <c r="G63" s="72">
        <f t="shared" si="10"/>
        <v>0</v>
      </c>
      <c r="H63" s="72">
        <f t="shared" si="10"/>
        <v>0</v>
      </c>
      <c r="I63" s="72">
        <f t="shared" si="10"/>
        <v>0</v>
      </c>
      <c r="J63" s="72">
        <f t="shared" si="10"/>
        <v>0</v>
      </c>
      <c r="K63" s="72">
        <f t="shared" si="10"/>
        <v>0</v>
      </c>
      <c r="L63" s="72">
        <f t="shared" si="10"/>
        <v>0</v>
      </c>
      <c r="M63" s="72">
        <f t="shared" si="10"/>
        <v>0</v>
      </c>
      <c r="N63" s="72">
        <f t="shared" si="10"/>
        <v>0</v>
      </c>
      <c r="O63" s="16"/>
      <c r="P63" s="16"/>
      <c r="Q63" s="16"/>
      <c r="R63" s="16"/>
      <c r="S63" s="16"/>
      <c r="T63" s="16"/>
      <c r="U63" s="16"/>
    </row>
    <row r="64" spans="1:21" x14ac:dyDescent="0.25">
      <c r="A64" s="28" t="s">
        <v>133</v>
      </c>
      <c r="B64" s="90"/>
      <c r="C64" s="73">
        <f>C59*$B$17</f>
        <v>0</v>
      </c>
      <c r="D64" s="73">
        <f t="shared" ref="D64:N64" si="11">D59*$B$17</f>
        <v>0</v>
      </c>
      <c r="E64" s="73">
        <f t="shared" si="11"/>
        <v>0</v>
      </c>
      <c r="F64" s="73">
        <f t="shared" si="11"/>
        <v>0</v>
      </c>
      <c r="G64" s="73">
        <f t="shared" si="11"/>
        <v>0</v>
      </c>
      <c r="H64" s="73">
        <f t="shared" si="11"/>
        <v>0</v>
      </c>
      <c r="I64" s="73">
        <f t="shared" si="11"/>
        <v>0</v>
      </c>
      <c r="J64" s="73">
        <f t="shared" si="11"/>
        <v>0</v>
      </c>
      <c r="K64" s="73">
        <f t="shared" si="11"/>
        <v>0</v>
      </c>
      <c r="L64" s="73">
        <f t="shared" si="11"/>
        <v>0</v>
      </c>
      <c r="M64" s="73">
        <f t="shared" si="11"/>
        <v>0</v>
      </c>
      <c r="N64" s="73">
        <f t="shared" si="11"/>
        <v>0</v>
      </c>
      <c r="O64" s="16"/>
      <c r="P64" s="16"/>
      <c r="Q64" s="16"/>
      <c r="R64" s="16"/>
      <c r="S64" s="16"/>
      <c r="T64" s="16"/>
      <c r="U64" s="16"/>
    </row>
    <row r="65" spans="1:21" x14ac:dyDescent="0.25">
      <c r="A65" s="28" t="s">
        <v>36</v>
      </c>
      <c r="B65" s="52">
        <f>B52*$B$9</f>
        <v>0</v>
      </c>
      <c r="C65" s="31">
        <f t="shared" ref="C65:N65" si="12">C52*$B$9</f>
        <v>0</v>
      </c>
      <c r="D65" s="31">
        <f t="shared" si="12"/>
        <v>0</v>
      </c>
      <c r="E65" s="31">
        <f t="shared" si="12"/>
        <v>0</v>
      </c>
      <c r="F65" s="31">
        <f t="shared" si="12"/>
        <v>0</v>
      </c>
      <c r="G65" s="31">
        <f t="shared" si="12"/>
        <v>0</v>
      </c>
      <c r="H65" s="31">
        <f t="shared" si="12"/>
        <v>0</v>
      </c>
      <c r="I65" s="31">
        <f t="shared" si="12"/>
        <v>0</v>
      </c>
      <c r="J65" s="31">
        <f t="shared" si="12"/>
        <v>0</v>
      </c>
      <c r="K65" s="31">
        <f t="shared" si="12"/>
        <v>0</v>
      </c>
      <c r="L65" s="31">
        <f t="shared" si="12"/>
        <v>0</v>
      </c>
      <c r="M65" s="31">
        <f t="shared" si="12"/>
        <v>0</v>
      </c>
      <c r="N65" s="31">
        <f t="shared" si="12"/>
        <v>0</v>
      </c>
      <c r="O65" s="16"/>
      <c r="P65" s="16"/>
      <c r="Q65" s="16"/>
      <c r="R65" s="16"/>
      <c r="S65" s="16"/>
      <c r="T65" s="16"/>
      <c r="U65" s="16"/>
    </row>
    <row r="66" spans="1:21" ht="15.6" x14ac:dyDescent="0.3">
      <c r="A66" s="32" t="s">
        <v>2</v>
      </c>
      <c r="B66" s="85">
        <f>SUM(B62:B65)</f>
        <v>0</v>
      </c>
      <c r="C66" s="33">
        <f>SUM(C62:C65)</f>
        <v>0</v>
      </c>
      <c r="D66" s="33">
        <f t="shared" ref="D66:N66" si="13">SUM(D62:D65)</f>
        <v>0</v>
      </c>
      <c r="E66" s="33">
        <f t="shared" si="13"/>
        <v>0</v>
      </c>
      <c r="F66" s="33">
        <f t="shared" si="13"/>
        <v>0</v>
      </c>
      <c r="G66" s="33">
        <f t="shared" si="13"/>
        <v>0</v>
      </c>
      <c r="H66" s="33">
        <f t="shared" si="13"/>
        <v>0</v>
      </c>
      <c r="I66" s="33">
        <f t="shared" si="13"/>
        <v>0</v>
      </c>
      <c r="J66" s="33">
        <f t="shared" si="13"/>
        <v>0</v>
      </c>
      <c r="K66" s="33">
        <f t="shared" si="13"/>
        <v>0</v>
      </c>
      <c r="L66" s="33">
        <f t="shared" si="13"/>
        <v>0</v>
      </c>
      <c r="M66" s="33">
        <f t="shared" si="13"/>
        <v>0</v>
      </c>
      <c r="N66" s="33">
        <f t="shared" si="13"/>
        <v>0</v>
      </c>
      <c r="O66" s="16"/>
      <c r="P66" s="16"/>
      <c r="Q66" s="16"/>
      <c r="R66" s="16"/>
      <c r="S66" s="16"/>
      <c r="T66" s="16"/>
      <c r="U66" s="16"/>
    </row>
    <row r="67" spans="1:21" x14ac:dyDescent="0.25">
      <c r="A67" s="28" t="s">
        <v>134</v>
      </c>
      <c r="B67" s="90"/>
      <c r="C67" s="72">
        <f>(C62*0.05)+((C65+C64)*0.015)</f>
        <v>0</v>
      </c>
      <c r="D67" s="72">
        <f t="shared" ref="D67:N67" si="14">(D62*0.05)+((D65+D64)*0.015)</f>
        <v>0</v>
      </c>
      <c r="E67" s="72">
        <f t="shared" si="14"/>
        <v>0</v>
      </c>
      <c r="F67" s="72">
        <f t="shared" si="14"/>
        <v>0</v>
      </c>
      <c r="G67" s="72">
        <f t="shared" si="14"/>
        <v>0</v>
      </c>
      <c r="H67" s="72">
        <f t="shared" si="14"/>
        <v>0</v>
      </c>
      <c r="I67" s="72">
        <f t="shared" si="14"/>
        <v>0</v>
      </c>
      <c r="J67" s="72">
        <f t="shared" si="14"/>
        <v>0</v>
      </c>
      <c r="K67" s="72">
        <f t="shared" si="14"/>
        <v>0</v>
      </c>
      <c r="L67" s="72">
        <f t="shared" si="14"/>
        <v>0</v>
      </c>
      <c r="M67" s="72">
        <f t="shared" si="14"/>
        <v>0</v>
      </c>
      <c r="N67" s="72">
        <f t="shared" si="14"/>
        <v>0</v>
      </c>
      <c r="O67" s="16"/>
      <c r="P67" s="16"/>
      <c r="Q67" s="16"/>
      <c r="R67" s="16"/>
      <c r="S67" s="16"/>
      <c r="T67" s="16"/>
      <c r="U67" s="16"/>
    </row>
    <row r="68" spans="1:21" x14ac:dyDescent="0.25">
      <c r="A68" s="28" t="s">
        <v>135</v>
      </c>
      <c r="B68" s="90"/>
      <c r="C68" s="72">
        <f t="shared" ref="C68:N68" si="15">C52*$B$25</f>
        <v>0</v>
      </c>
      <c r="D68" s="72">
        <f t="shared" si="15"/>
        <v>0</v>
      </c>
      <c r="E68" s="72">
        <f t="shared" si="15"/>
        <v>0</v>
      </c>
      <c r="F68" s="72">
        <f t="shared" si="15"/>
        <v>0</v>
      </c>
      <c r="G68" s="72">
        <f t="shared" si="15"/>
        <v>0</v>
      </c>
      <c r="H68" s="72">
        <f t="shared" si="15"/>
        <v>0</v>
      </c>
      <c r="I68" s="72">
        <f t="shared" si="15"/>
        <v>0</v>
      </c>
      <c r="J68" s="72">
        <f t="shared" si="15"/>
        <v>0</v>
      </c>
      <c r="K68" s="72">
        <f t="shared" si="15"/>
        <v>0</v>
      </c>
      <c r="L68" s="72">
        <f t="shared" si="15"/>
        <v>0</v>
      </c>
      <c r="M68" s="72">
        <f t="shared" si="15"/>
        <v>0</v>
      </c>
      <c r="N68" s="72">
        <f t="shared" si="15"/>
        <v>0</v>
      </c>
      <c r="O68" s="16"/>
      <c r="P68" s="16"/>
      <c r="Q68" s="16"/>
      <c r="R68" s="16"/>
      <c r="S68" s="16"/>
      <c r="T68" s="16"/>
      <c r="U68" s="16"/>
    </row>
    <row r="69" spans="1:21" x14ac:dyDescent="0.25">
      <c r="A69" s="28" t="s">
        <v>52</v>
      </c>
      <c r="B69" s="90"/>
      <c r="C69" s="72">
        <f t="shared" ref="C69:N69" si="16">($B$18*C59)*$B$23</f>
        <v>0</v>
      </c>
      <c r="D69" s="72">
        <f t="shared" si="16"/>
        <v>0</v>
      </c>
      <c r="E69" s="72">
        <f t="shared" si="16"/>
        <v>0</v>
      </c>
      <c r="F69" s="72">
        <f t="shared" si="16"/>
        <v>0</v>
      </c>
      <c r="G69" s="72">
        <f t="shared" si="16"/>
        <v>0</v>
      </c>
      <c r="H69" s="72">
        <f t="shared" si="16"/>
        <v>0</v>
      </c>
      <c r="I69" s="72">
        <f t="shared" si="16"/>
        <v>0</v>
      </c>
      <c r="J69" s="72">
        <f t="shared" si="16"/>
        <v>0</v>
      </c>
      <c r="K69" s="72">
        <f t="shared" si="16"/>
        <v>0</v>
      </c>
      <c r="L69" s="72">
        <f t="shared" si="16"/>
        <v>0</v>
      </c>
      <c r="M69" s="72">
        <f t="shared" si="16"/>
        <v>0</v>
      </c>
      <c r="N69" s="72">
        <f t="shared" si="16"/>
        <v>0</v>
      </c>
      <c r="O69" s="16"/>
      <c r="P69" s="16"/>
      <c r="Q69" s="16"/>
      <c r="R69" s="16"/>
      <c r="S69" s="16"/>
      <c r="T69" s="16"/>
      <c r="U69" s="16"/>
    </row>
    <row r="70" spans="1:21" x14ac:dyDescent="0.25">
      <c r="A70" s="49" t="s">
        <v>84</v>
      </c>
      <c r="B70" s="90"/>
      <c r="C70" s="72">
        <f t="shared" ref="C70:N70" si="17">C64*$B$24</f>
        <v>0</v>
      </c>
      <c r="D70" s="72">
        <f t="shared" si="17"/>
        <v>0</v>
      </c>
      <c r="E70" s="72">
        <f t="shared" si="17"/>
        <v>0</v>
      </c>
      <c r="F70" s="72">
        <f t="shared" si="17"/>
        <v>0</v>
      </c>
      <c r="G70" s="72">
        <f t="shared" si="17"/>
        <v>0</v>
      </c>
      <c r="H70" s="72">
        <f t="shared" si="17"/>
        <v>0</v>
      </c>
      <c r="I70" s="72">
        <f t="shared" si="17"/>
        <v>0</v>
      </c>
      <c r="J70" s="72">
        <f t="shared" si="17"/>
        <v>0</v>
      </c>
      <c r="K70" s="72">
        <f t="shared" si="17"/>
        <v>0</v>
      </c>
      <c r="L70" s="72">
        <f t="shared" si="17"/>
        <v>0</v>
      </c>
      <c r="M70" s="72">
        <f t="shared" si="17"/>
        <v>0</v>
      </c>
      <c r="N70" s="72">
        <f t="shared" si="17"/>
        <v>0</v>
      </c>
      <c r="O70" s="16"/>
      <c r="P70" s="16"/>
      <c r="Q70" s="16"/>
      <c r="R70" s="16"/>
      <c r="S70" s="16"/>
      <c r="T70" s="16"/>
      <c r="U70" s="16"/>
    </row>
    <row r="71" spans="1:21" ht="15.6" x14ac:dyDescent="0.3">
      <c r="A71" s="32" t="s">
        <v>85</v>
      </c>
      <c r="B71" s="86">
        <f>SUM(B67:B70)</f>
        <v>0</v>
      </c>
      <c r="C71" s="34">
        <f>SUM(C67:C70)</f>
        <v>0</v>
      </c>
      <c r="D71" s="34">
        <f t="shared" ref="D71:N71" si="18">SUM(D67:D70)</f>
        <v>0</v>
      </c>
      <c r="E71" s="34">
        <f t="shared" si="18"/>
        <v>0</v>
      </c>
      <c r="F71" s="34">
        <f t="shared" si="18"/>
        <v>0</v>
      </c>
      <c r="G71" s="34">
        <f t="shared" si="18"/>
        <v>0</v>
      </c>
      <c r="H71" s="34">
        <f t="shared" si="18"/>
        <v>0</v>
      </c>
      <c r="I71" s="34">
        <f t="shared" si="18"/>
        <v>0</v>
      </c>
      <c r="J71" s="34">
        <f t="shared" si="18"/>
        <v>0</v>
      </c>
      <c r="K71" s="34">
        <f t="shared" si="18"/>
        <v>0</v>
      </c>
      <c r="L71" s="34">
        <f t="shared" si="18"/>
        <v>0</v>
      </c>
      <c r="M71" s="34">
        <f t="shared" si="18"/>
        <v>0</v>
      </c>
      <c r="N71" s="34">
        <f t="shared" si="18"/>
        <v>0</v>
      </c>
      <c r="O71" s="16"/>
      <c r="P71" s="16"/>
      <c r="Q71" s="16"/>
      <c r="R71" s="16"/>
      <c r="S71" s="16"/>
      <c r="T71" s="16"/>
      <c r="U71" s="16"/>
    </row>
    <row r="72" spans="1:21" ht="15.6" x14ac:dyDescent="0.3">
      <c r="A72" s="32" t="s">
        <v>90</v>
      </c>
      <c r="B72" s="85">
        <f>B66-B71</f>
        <v>0</v>
      </c>
      <c r="C72" s="33">
        <f>C66-C71</f>
        <v>0</v>
      </c>
      <c r="D72" s="33">
        <f t="shared" ref="D72:N72" si="19">D66-D71</f>
        <v>0</v>
      </c>
      <c r="E72" s="33">
        <f t="shared" si="19"/>
        <v>0</v>
      </c>
      <c r="F72" s="33">
        <f t="shared" si="19"/>
        <v>0</v>
      </c>
      <c r="G72" s="33">
        <f t="shared" si="19"/>
        <v>0</v>
      </c>
      <c r="H72" s="33">
        <f t="shared" si="19"/>
        <v>0</v>
      </c>
      <c r="I72" s="33">
        <f t="shared" si="19"/>
        <v>0</v>
      </c>
      <c r="J72" s="33">
        <f t="shared" si="19"/>
        <v>0</v>
      </c>
      <c r="K72" s="33">
        <f t="shared" si="19"/>
        <v>0</v>
      </c>
      <c r="L72" s="33">
        <f t="shared" si="19"/>
        <v>0</v>
      </c>
      <c r="M72" s="33">
        <f t="shared" si="19"/>
        <v>0</v>
      </c>
      <c r="N72" s="33">
        <f t="shared" si="19"/>
        <v>0</v>
      </c>
      <c r="O72" s="16"/>
      <c r="P72" s="16"/>
      <c r="Q72" s="16"/>
      <c r="R72" s="16"/>
      <c r="S72" s="16"/>
      <c r="T72" s="16"/>
      <c r="U72" s="16"/>
    </row>
    <row r="73" spans="1:21" x14ac:dyDescent="0.25">
      <c r="A73" s="28" t="s">
        <v>125</v>
      </c>
      <c r="B73" s="90"/>
      <c r="C73" s="72">
        <f>$B$34</f>
        <v>0</v>
      </c>
      <c r="D73" s="72">
        <f t="shared" ref="D73:N73" si="20">$B$34</f>
        <v>0</v>
      </c>
      <c r="E73" s="72">
        <f t="shared" si="20"/>
        <v>0</v>
      </c>
      <c r="F73" s="72">
        <f t="shared" si="20"/>
        <v>0</v>
      </c>
      <c r="G73" s="72">
        <f t="shared" si="20"/>
        <v>0</v>
      </c>
      <c r="H73" s="72">
        <f t="shared" si="20"/>
        <v>0</v>
      </c>
      <c r="I73" s="72">
        <f t="shared" si="20"/>
        <v>0</v>
      </c>
      <c r="J73" s="72">
        <f t="shared" si="20"/>
        <v>0</v>
      </c>
      <c r="K73" s="72">
        <f t="shared" si="20"/>
        <v>0</v>
      </c>
      <c r="L73" s="72">
        <f t="shared" si="20"/>
        <v>0</v>
      </c>
      <c r="M73" s="72">
        <f t="shared" si="20"/>
        <v>0</v>
      </c>
      <c r="N73" s="72">
        <f t="shared" si="20"/>
        <v>0</v>
      </c>
      <c r="O73" s="16"/>
      <c r="P73" s="16"/>
      <c r="Q73" s="16"/>
      <c r="R73" s="16"/>
      <c r="S73" s="16"/>
      <c r="T73" s="16"/>
      <c r="U73" s="16"/>
    </row>
    <row r="74" spans="1:21" x14ac:dyDescent="0.25">
      <c r="A74" s="28" t="s">
        <v>95</v>
      </c>
      <c r="B74" s="90"/>
      <c r="C74" s="72">
        <f>$B$30+$B$31+$B$32</f>
        <v>0</v>
      </c>
      <c r="D74" s="72">
        <f t="shared" ref="D74:N74" si="21">$B$30+$B$31+$B$32</f>
        <v>0</v>
      </c>
      <c r="E74" s="72">
        <f t="shared" si="21"/>
        <v>0</v>
      </c>
      <c r="F74" s="72">
        <f t="shared" si="21"/>
        <v>0</v>
      </c>
      <c r="G74" s="72">
        <f t="shared" si="21"/>
        <v>0</v>
      </c>
      <c r="H74" s="72">
        <f t="shared" si="21"/>
        <v>0</v>
      </c>
      <c r="I74" s="72">
        <f t="shared" si="21"/>
        <v>0</v>
      </c>
      <c r="J74" s="72">
        <f t="shared" si="21"/>
        <v>0</v>
      </c>
      <c r="K74" s="72">
        <f t="shared" si="21"/>
        <v>0</v>
      </c>
      <c r="L74" s="72">
        <f t="shared" si="21"/>
        <v>0</v>
      </c>
      <c r="M74" s="72">
        <f t="shared" si="21"/>
        <v>0</v>
      </c>
      <c r="N74" s="72">
        <f t="shared" si="21"/>
        <v>0</v>
      </c>
      <c r="O74" s="16"/>
      <c r="P74" s="16"/>
      <c r="Q74" s="16"/>
      <c r="R74" s="16"/>
      <c r="S74" s="16"/>
      <c r="T74" s="16"/>
      <c r="U74" s="16"/>
    </row>
    <row r="75" spans="1:21" x14ac:dyDescent="0.25">
      <c r="A75" s="28" t="s">
        <v>98</v>
      </c>
      <c r="B75" s="90"/>
      <c r="C75" s="72">
        <f>$B$33</f>
        <v>0</v>
      </c>
      <c r="D75" s="72">
        <f t="shared" ref="D75:N75" si="22">$B$33</f>
        <v>0</v>
      </c>
      <c r="E75" s="72">
        <f t="shared" si="22"/>
        <v>0</v>
      </c>
      <c r="F75" s="72">
        <f t="shared" si="22"/>
        <v>0</v>
      </c>
      <c r="G75" s="72">
        <f t="shared" si="22"/>
        <v>0</v>
      </c>
      <c r="H75" s="72">
        <f t="shared" si="22"/>
        <v>0</v>
      </c>
      <c r="I75" s="72">
        <f t="shared" si="22"/>
        <v>0</v>
      </c>
      <c r="J75" s="72">
        <f t="shared" si="22"/>
        <v>0</v>
      </c>
      <c r="K75" s="72">
        <f t="shared" si="22"/>
        <v>0</v>
      </c>
      <c r="L75" s="72">
        <f t="shared" si="22"/>
        <v>0</v>
      </c>
      <c r="M75" s="72">
        <f t="shared" si="22"/>
        <v>0</v>
      </c>
      <c r="N75" s="72">
        <f t="shared" si="22"/>
        <v>0</v>
      </c>
      <c r="O75" s="16"/>
      <c r="P75" s="16"/>
      <c r="Q75" s="16"/>
      <c r="R75" s="16"/>
      <c r="S75" s="16"/>
      <c r="T75" s="16"/>
      <c r="U75" s="16"/>
    </row>
    <row r="76" spans="1:21" x14ac:dyDescent="0.25">
      <c r="A76" s="28" t="s">
        <v>124</v>
      </c>
      <c r="B76" s="90"/>
      <c r="C76" s="72">
        <f>($B$35+$B$36+$B$29)-(IF($B$46&gt;0,$B$29,0))</f>
        <v>0</v>
      </c>
      <c r="D76" s="72">
        <f>($B$35+$B$36+$B$29)-(IF($B$46&gt;1,$B$29,0))</f>
        <v>0</v>
      </c>
      <c r="E76" s="72">
        <f>($B$35+$B$36+$B$29)-(IF($B$46&gt;2,$B$29,0))</f>
        <v>0</v>
      </c>
      <c r="F76" s="72">
        <f>($B$35+$B$36+$B$29)-(IF($B$46&gt;3,$B$29,0))</f>
        <v>0</v>
      </c>
      <c r="G76" s="72">
        <f>($B$35+$B$36+$B$29)-(IF($B$46&gt;4,$B$29,0))</f>
        <v>0</v>
      </c>
      <c r="H76" s="72">
        <f>($B$35+$B$36+$B$29)-(IF($B$46&gt;5,$B$29,0))</f>
        <v>0</v>
      </c>
      <c r="I76" s="72">
        <f>($B$35+$B$36+$B$29)-(IF($B$46&gt;6,$B$29,0))</f>
        <v>0</v>
      </c>
      <c r="J76" s="72">
        <f>($B$35+$B$36+$B$29)-(IF($B$46&gt;7,$B$29,0))</f>
        <v>0</v>
      </c>
      <c r="K76" s="72">
        <f>($B$35+$B$36+$B$29)-(IF($B$46&gt;8,$B$29,0))</f>
        <v>0</v>
      </c>
      <c r="L76" s="72">
        <f>($B$35+$B$36+$B$29)-(IF($B$46&gt;9,$B$29,0))</f>
        <v>0</v>
      </c>
      <c r="M76" s="72">
        <f>($B$35+$B$36+$B$29)-(IF($B$46&gt;10,$B$29,0))</f>
        <v>0</v>
      </c>
      <c r="N76" s="72">
        <f>($B$35+$B$36+$B$29)-(IF($B$46&gt;11,$B$29,0))</f>
        <v>0</v>
      </c>
      <c r="O76" s="16"/>
      <c r="P76" s="16"/>
      <c r="Q76" s="16"/>
      <c r="R76" s="16"/>
      <c r="S76" s="16"/>
      <c r="T76" s="16"/>
      <c r="U76" s="16"/>
    </row>
    <row r="77" spans="1:21" x14ac:dyDescent="0.25">
      <c r="A77" s="28" t="s">
        <v>88</v>
      </c>
      <c r="B77" s="90"/>
      <c r="C77" s="72">
        <f>$B$38+$B$37</f>
        <v>0</v>
      </c>
      <c r="D77" s="72">
        <f t="shared" ref="D77:N77" si="23">$B$38+$B$37</f>
        <v>0</v>
      </c>
      <c r="E77" s="72">
        <f t="shared" si="23"/>
        <v>0</v>
      </c>
      <c r="F77" s="72">
        <f t="shared" si="23"/>
        <v>0</v>
      </c>
      <c r="G77" s="72">
        <f t="shared" si="23"/>
        <v>0</v>
      </c>
      <c r="H77" s="72">
        <f t="shared" si="23"/>
        <v>0</v>
      </c>
      <c r="I77" s="72">
        <f t="shared" si="23"/>
        <v>0</v>
      </c>
      <c r="J77" s="72">
        <f t="shared" si="23"/>
        <v>0</v>
      </c>
      <c r="K77" s="72">
        <f t="shared" si="23"/>
        <v>0</v>
      </c>
      <c r="L77" s="72">
        <f t="shared" si="23"/>
        <v>0</v>
      </c>
      <c r="M77" s="72">
        <f t="shared" si="23"/>
        <v>0</v>
      </c>
      <c r="N77" s="72">
        <f t="shared" si="23"/>
        <v>0</v>
      </c>
      <c r="O77" s="16"/>
      <c r="P77" s="16"/>
      <c r="Q77" s="16"/>
      <c r="R77" s="16"/>
      <c r="S77" s="16"/>
      <c r="T77" s="16"/>
      <c r="U77" s="16"/>
    </row>
    <row r="78" spans="1:21" x14ac:dyDescent="0.25">
      <c r="A78" s="28" t="s">
        <v>89</v>
      </c>
      <c r="B78" s="90"/>
      <c r="C78" s="72">
        <f>$B$39+$B$40+$B$41+$B$42</f>
        <v>0</v>
      </c>
      <c r="D78" s="72">
        <f t="shared" ref="D78:N78" si="24">$B$39+$B$40+$B$41+$B$42</f>
        <v>0</v>
      </c>
      <c r="E78" s="72">
        <f t="shared" si="24"/>
        <v>0</v>
      </c>
      <c r="F78" s="72">
        <f t="shared" si="24"/>
        <v>0</v>
      </c>
      <c r="G78" s="72">
        <f t="shared" si="24"/>
        <v>0</v>
      </c>
      <c r="H78" s="72">
        <f t="shared" si="24"/>
        <v>0</v>
      </c>
      <c r="I78" s="72">
        <f t="shared" si="24"/>
        <v>0</v>
      </c>
      <c r="J78" s="72">
        <f t="shared" si="24"/>
        <v>0</v>
      </c>
      <c r="K78" s="72">
        <f t="shared" si="24"/>
        <v>0</v>
      </c>
      <c r="L78" s="72">
        <f t="shared" si="24"/>
        <v>0</v>
      </c>
      <c r="M78" s="72">
        <f t="shared" si="24"/>
        <v>0</v>
      </c>
      <c r="N78" s="72">
        <f t="shared" si="24"/>
        <v>0</v>
      </c>
      <c r="O78" s="16"/>
      <c r="P78" s="16"/>
      <c r="Q78" s="16"/>
      <c r="R78" s="16"/>
      <c r="S78" s="16"/>
      <c r="T78" s="16"/>
      <c r="U78" s="16"/>
    </row>
    <row r="79" spans="1:21" x14ac:dyDescent="0.25">
      <c r="A79" s="28" t="s">
        <v>33</v>
      </c>
      <c r="B79" s="90"/>
      <c r="C79" s="72">
        <f t="shared" ref="C79:N79" si="25">$B$43*C62</f>
        <v>0</v>
      </c>
      <c r="D79" s="72">
        <f t="shared" si="25"/>
        <v>0</v>
      </c>
      <c r="E79" s="72">
        <f t="shared" si="25"/>
        <v>0</v>
      </c>
      <c r="F79" s="72">
        <f t="shared" si="25"/>
        <v>0</v>
      </c>
      <c r="G79" s="72">
        <f t="shared" si="25"/>
        <v>0</v>
      </c>
      <c r="H79" s="72">
        <f t="shared" si="25"/>
        <v>0</v>
      </c>
      <c r="I79" s="72">
        <f t="shared" si="25"/>
        <v>0</v>
      </c>
      <c r="J79" s="72">
        <f t="shared" si="25"/>
        <v>0</v>
      </c>
      <c r="K79" s="72">
        <f t="shared" si="25"/>
        <v>0</v>
      </c>
      <c r="L79" s="72">
        <f t="shared" si="25"/>
        <v>0</v>
      </c>
      <c r="M79" s="72">
        <f t="shared" si="25"/>
        <v>0</v>
      </c>
      <c r="N79" s="72">
        <f t="shared" si="25"/>
        <v>0</v>
      </c>
      <c r="O79" s="16"/>
      <c r="P79" s="16"/>
      <c r="Q79" s="16"/>
      <c r="R79" s="16"/>
      <c r="S79" s="16"/>
      <c r="T79" s="16"/>
      <c r="U79" s="16"/>
    </row>
    <row r="80" spans="1:21" ht="15.6" x14ac:dyDescent="0.3">
      <c r="A80" s="32" t="s">
        <v>91</v>
      </c>
      <c r="B80" s="86">
        <f>SUM(B73:B79)</f>
        <v>0</v>
      </c>
      <c r="C80" s="34">
        <f>SUM(C73:C79)</f>
        <v>0</v>
      </c>
      <c r="D80" s="34">
        <f t="shared" ref="D80:N80" si="26">SUM(D73:D79)</f>
        <v>0</v>
      </c>
      <c r="E80" s="34">
        <f t="shared" si="26"/>
        <v>0</v>
      </c>
      <c r="F80" s="34">
        <f t="shared" si="26"/>
        <v>0</v>
      </c>
      <c r="G80" s="34">
        <f t="shared" si="26"/>
        <v>0</v>
      </c>
      <c r="H80" s="34">
        <f t="shared" si="26"/>
        <v>0</v>
      </c>
      <c r="I80" s="34">
        <f t="shared" si="26"/>
        <v>0</v>
      </c>
      <c r="J80" s="34">
        <f t="shared" si="26"/>
        <v>0</v>
      </c>
      <c r="K80" s="34">
        <f t="shared" si="26"/>
        <v>0</v>
      </c>
      <c r="L80" s="34">
        <f t="shared" si="26"/>
        <v>0</v>
      </c>
      <c r="M80" s="34">
        <f t="shared" si="26"/>
        <v>0</v>
      </c>
      <c r="N80" s="34">
        <f t="shared" si="26"/>
        <v>0</v>
      </c>
      <c r="O80" s="16"/>
      <c r="P80" s="16"/>
      <c r="Q80" s="16"/>
      <c r="R80" s="16"/>
      <c r="S80" s="16"/>
      <c r="T80" s="16"/>
      <c r="U80" s="16"/>
    </row>
    <row r="81" spans="1:21" ht="15.6" x14ac:dyDescent="0.3">
      <c r="A81" s="32" t="s">
        <v>131</v>
      </c>
      <c r="B81" s="86">
        <f>B71+B80</f>
        <v>0</v>
      </c>
      <c r="C81" s="34">
        <f>C71+C80</f>
        <v>0</v>
      </c>
      <c r="D81" s="34">
        <f t="shared" ref="D81:N81" si="27">D71+D80</f>
        <v>0</v>
      </c>
      <c r="E81" s="34">
        <f t="shared" si="27"/>
        <v>0</v>
      </c>
      <c r="F81" s="34">
        <f t="shared" si="27"/>
        <v>0</v>
      </c>
      <c r="G81" s="34">
        <f t="shared" si="27"/>
        <v>0</v>
      </c>
      <c r="H81" s="34">
        <f t="shared" si="27"/>
        <v>0</v>
      </c>
      <c r="I81" s="34">
        <f t="shared" si="27"/>
        <v>0</v>
      </c>
      <c r="J81" s="34">
        <f t="shared" si="27"/>
        <v>0</v>
      </c>
      <c r="K81" s="34">
        <f t="shared" si="27"/>
        <v>0</v>
      </c>
      <c r="L81" s="34">
        <f t="shared" si="27"/>
        <v>0</v>
      </c>
      <c r="M81" s="34">
        <f t="shared" si="27"/>
        <v>0</v>
      </c>
      <c r="N81" s="34">
        <f t="shared" si="27"/>
        <v>0</v>
      </c>
      <c r="O81" s="16"/>
      <c r="P81" s="16"/>
      <c r="Q81" s="16"/>
      <c r="R81" s="16"/>
      <c r="S81" s="16"/>
      <c r="T81" s="16"/>
      <c r="U81" s="16"/>
    </row>
    <row r="82" spans="1:21" x14ac:dyDescent="0.25">
      <c r="A82" s="32" t="s">
        <v>83</v>
      </c>
      <c r="B82" s="70">
        <f t="shared" ref="B82:N82" si="28">B66-B81</f>
        <v>0</v>
      </c>
      <c r="C82" s="70">
        <f>C66-C81</f>
        <v>0</v>
      </c>
      <c r="D82" s="70">
        <f t="shared" si="28"/>
        <v>0</v>
      </c>
      <c r="E82" s="70">
        <f t="shared" si="28"/>
        <v>0</v>
      </c>
      <c r="F82" s="70">
        <f t="shared" si="28"/>
        <v>0</v>
      </c>
      <c r="G82" s="70">
        <f t="shared" si="28"/>
        <v>0</v>
      </c>
      <c r="H82" s="70">
        <f t="shared" si="28"/>
        <v>0</v>
      </c>
      <c r="I82" s="70">
        <f t="shared" si="28"/>
        <v>0</v>
      </c>
      <c r="J82" s="70">
        <f t="shared" si="28"/>
        <v>0</v>
      </c>
      <c r="K82" s="70">
        <f t="shared" si="28"/>
        <v>0</v>
      </c>
      <c r="L82" s="70">
        <f t="shared" si="28"/>
        <v>0</v>
      </c>
      <c r="M82" s="70">
        <f t="shared" si="28"/>
        <v>0</v>
      </c>
      <c r="N82" s="70">
        <f t="shared" si="28"/>
        <v>0</v>
      </c>
      <c r="O82" s="16"/>
      <c r="P82" s="16"/>
      <c r="Q82" s="16"/>
      <c r="R82" s="16"/>
      <c r="S82" s="16"/>
      <c r="T82" s="16"/>
      <c r="U82" s="16"/>
    </row>
    <row r="83" spans="1:21" ht="14.4" thickBot="1" x14ac:dyDescent="0.3">
      <c r="A83" s="35" t="s">
        <v>0</v>
      </c>
      <c r="B83" s="71">
        <f>B82</f>
        <v>0</v>
      </c>
      <c r="C83" s="71">
        <f>C82+B83</f>
        <v>0</v>
      </c>
      <c r="D83" s="71">
        <f>D82+C83</f>
        <v>0</v>
      </c>
      <c r="E83" s="71">
        <f t="shared" ref="E83:N83" si="29">E82+D83</f>
        <v>0</v>
      </c>
      <c r="F83" s="71">
        <f t="shared" si="29"/>
        <v>0</v>
      </c>
      <c r="G83" s="71">
        <f t="shared" si="29"/>
        <v>0</v>
      </c>
      <c r="H83" s="71">
        <f t="shared" si="29"/>
        <v>0</v>
      </c>
      <c r="I83" s="71">
        <f t="shared" si="29"/>
        <v>0</v>
      </c>
      <c r="J83" s="71">
        <f t="shared" si="29"/>
        <v>0</v>
      </c>
      <c r="K83" s="71">
        <f t="shared" si="29"/>
        <v>0</v>
      </c>
      <c r="L83" s="71">
        <f t="shared" si="29"/>
        <v>0</v>
      </c>
      <c r="M83" s="71">
        <f t="shared" si="29"/>
        <v>0</v>
      </c>
      <c r="N83" s="71">
        <f t="shared" si="29"/>
        <v>0</v>
      </c>
      <c r="O83" s="16"/>
      <c r="P83" s="16"/>
      <c r="Q83" s="16"/>
      <c r="R83" s="16"/>
      <c r="S83" s="16"/>
      <c r="T83" s="16"/>
      <c r="U83" s="16"/>
    </row>
    <row r="84" spans="1:21" x14ac:dyDescent="0.25">
      <c r="A84" s="12"/>
      <c r="B84" s="2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6"/>
      <c r="P84" s="16"/>
      <c r="Q84" s="16"/>
      <c r="R84" s="16"/>
      <c r="S84" s="16"/>
      <c r="T84" s="16"/>
      <c r="U84" s="16"/>
    </row>
    <row r="85" spans="1:21" x14ac:dyDescent="0.25">
      <c r="A85" s="24" t="s">
        <v>5</v>
      </c>
      <c r="B85" s="51"/>
      <c r="C85" s="36" t="s">
        <v>54</v>
      </c>
      <c r="D85" s="36" t="s">
        <v>55</v>
      </c>
      <c r="E85" s="36" t="s">
        <v>56</v>
      </c>
      <c r="F85" s="36" t="s">
        <v>57</v>
      </c>
      <c r="G85" s="36" t="s">
        <v>58</v>
      </c>
      <c r="H85" s="36" t="s">
        <v>59</v>
      </c>
      <c r="I85" s="36" t="s">
        <v>60</v>
      </c>
      <c r="J85" s="36" t="s">
        <v>61</v>
      </c>
      <c r="K85" s="36" t="s">
        <v>62</v>
      </c>
      <c r="L85" s="36" t="s">
        <v>63</v>
      </c>
      <c r="M85" s="36" t="s">
        <v>64</v>
      </c>
      <c r="N85" s="36" t="s">
        <v>65</v>
      </c>
      <c r="O85" s="16"/>
      <c r="P85" s="16"/>
      <c r="Q85" s="16"/>
      <c r="R85" s="16"/>
      <c r="S85" s="16"/>
      <c r="T85" s="16"/>
      <c r="U85" s="16"/>
    </row>
    <row r="86" spans="1:21" s="4" customFormat="1" x14ac:dyDescent="0.25">
      <c r="A86" s="28" t="s">
        <v>37</v>
      </c>
      <c r="B86" s="56"/>
      <c r="C86" s="81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3"/>
      <c r="O86" s="16"/>
      <c r="P86" s="16"/>
      <c r="Q86" s="16"/>
      <c r="R86" s="16"/>
      <c r="S86" s="16"/>
      <c r="T86" s="16"/>
      <c r="U86" s="16"/>
    </row>
    <row r="87" spans="1:21" outlineLevel="1" x14ac:dyDescent="0.25">
      <c r="A87" s="28" t="s">
        <v>12</v>
      </c>
      <c r="B87" s="51"/>
      <c r="C87" s="29">
        <f t="shared" ref="C87:N87" si="30">ROUND((C86*(1-$B$6)),0)</f>
        <v>0</v>
      </c>
      <c r="D87" s="29">
        <f t="shared" si="30"/>
        <v>0</v>
      </c>
      <c r="E87" s="29">
        <f t="shared" si="30"/>
        <v>0</v>
      </c>
      <c r="F87" s="29">
        <f t="shared" si="30"/>
        <v>0</v>
      </c>
      <c r="G87" s="29">
        <f t="shared" si="30"/>
        <v>0</v>
      </c>
      <c r="H87" s="29">
        <f t="shared" si="30"/>
        <v>0</v>
      </c>
      <c r="I87" s="29">
        <f t="shared" si="30"/>
        <v>0</v>
      </c>
      <c r="J87" s="29">
        <f t="shared" si="30"/>
        <v>0</v>
      </c>
      <c r="K87" s="29">
        <f t="shared" si="30"/>
        <v>0</v>
      </c>
      <c r="L87" s="29">
        <f t="shared" si="30"/>
        <v>0</v>
      </c>
      <c r="M87" s="29">
        <f t="shared" si="30"/>
        <v>0</v>
      </c>
      <c r="N87" s="29">
        <f t="shared" si="30"/>
        <v>0</v>
      </c>
      <c r="O87" s="16"/>
      <c r="P87" s="16"/>
      <c r="Q87" s="16"/>
      <c r="R87" s="16"/>
      <c r="S87" s="16"/>
      <c r="T87" s="16"/>
      <c r="U87" s="16"/>
    </row>
    <row r="88" spans="1:21" outlineLevel="1" x14ac:dyDescent="0.25">
      <c r="A88" s="44" t="s">
        <v>45</v>
      </c>
      <c r="B88" s="51"/>
      <c r="C88" s="45">
        <f>-N55*($B$13/12)</f>
        <v>0</v>
      </c>
      <c r="D88" s="45">
        <f t="shared" ref="D88:N88" si="31">-C89*($B$13/12)</f>
        <v>0</v>
      </c>
      <c r="E88" s="45">
        <f t="shared" si="31"/>
        <v>0</v>
      </c>
      <c r="F88" s="45">
        <f t="shared" si="31"/>
        <v>0</v>
      </c>
      <c r="G88" s="45">
        <f t="shared" si="31"/>
        <v>0</v>
      </c>
      <c r="H88" s="45">
        <f t="shared" si="31"/>
        <v>0</v>
      </c>
      <c r="I88" s="45">
        <f t="shared" si="31"/>
        <v>0</v>
      </c>
      <c r="J88" s="45">
        <f t="shared" si="31"/>
        <v>0</v>
      </c>
      <c r="K88" s="45">
        <f t="shared" si="31"/>
        <v>0</v>
      </c>
      <c r="L88" s="45">
        <f t="shared" si="31"/>
        <v>0</v>
      </c>
      <c r="M88" s="45">
        <f t="shared" si="31"/>
        <v>0</v>
      </c>
      <c r="N88" s="45">
        <f t="shared" si="31"/>
        <v>0</v>
      </c>
      <c r="O88" s="16"/>
      <c r="P88" s="16"/>
      <c r="Q88" s="16"/>
      <c r="R88" s="16"/>
      <c r="S88" s="16"/>
      <c r="T88" s="16"/>
      <c r="U88" s="16"/>
    </row>
    <row r="89" spans="1:21" outlineLevel="1" x14ac:dyDescent="0.25">
      <c r="A89" s="28" t="s">
        <v>46</v>
      </c>
      <c r="B89" s="51"/>
      <c r="C89" s="47">
        <f>N55+SUM(C87:C88)</f>
        <v>0</v>
      </c>
      <c r="D89" s="47">
        <f>C89+SUM(D87:D88)</f>
        <v>0</v>
      </c>
      <c r="E89" s="47">
        <f t="shared" ref="E89:N89" si="32">D89+SUM(E87:E88)</f>
        <v>0</v>
      </c>
      <c r="F89" s="47">
        <f t="shared" si="32"/>
        <v>0</v>
      </c>
      <c r="G89" s="47">
        <f t="shared" si="32"/>
        <v>0</v>
      </c>
      <c r="H89" s="47">
        <f t="shared" si="32"/>
        <v>0</v>
      </c>
      <c r="I89" s="47">
        <f t="shared" si="32"/>
        <v>0</v>
      </c>
      <c r="J89" s="47">
        <f t="shared" si="32"/>
        <v>0</v>
      </c>
      <c r="K89" s="47">
        <f t="shared" si="32"/>
        <v>0</v>
      </c>
      <c r="L89" s="47">
        <f t="shared" si="32"/>
        <v>0</v>
      </c>
      <c r="M89" s="47">
        <f t="shared" si="32"/>
        <v>0</v>
      </c>
      <c r="N89" s="47">
        <f t="shared" si="32"/>
        <v>0</v>
      </c>
      <c r="O89" s="16"/>
      <c r="P89" s="16"/>
      <c r="Q89" s="16"/>
      <c r="R89" s="16"/>
      <c r="S89" s="16"/>
      <c r="T89" s="16"/>
      <c r="U89" s="16"/>
    </row>
    <row r="90" spans="1:21" outlineLevel="1" x14ac:dyDescent="0.25">
      <c r="A90" s="28" t="s">
        <v>38</v>
      </c>
      <c r="B90" s="51"/>
      <c r="C90" s="30">
        <f t="shared" ref="C90:N90" si="33">ROUND(C86*$B$6,0)</f>
        <v>0</v>
      </c>
      <c r="D90" s="30">
        <f t="shared" si="33"/>
        <v>0</v>
      </c>
      <c r="E90" s="30">
        <f t="shared" si="33"/>
        <v>0</v>
      </c>
      <c r="F90" s="30">
        <f t="shared" si="33"/>
        <v>0</v>
      </c>
      <c r="G90" s="30">
        <f t="shared" si="33"/>
        <v>0</v>
      </c>
      <c r="H90" s="30">
        <f t="shared" si="33"/>
        <v>0</v>
      </c>
      <c r="I90" s="30">
        <f t="shared" si="33"/>
        <v>0</v>
      </c>
      <c r="J90" s="30">
        <f t="shared" si="33"/>
        <v>0</v>
      </c>
      <c r="K90" s="30">
        <f t="shared" si="33"/>
        <v>0</v>
      </c>
      <c r="L90" s="30">
        <f t="shared" si="33"/>
        <v>0</v>
      </c>
      <c r="M90" s="30">
        <f t="shared" si="33"/>
        <v>0</v>
      </c>
      <c r="N90" s="30">
        <f t="shared" si="33"/>
        <v>0</v>
      </c>
      <c r="O90" s="16"/>
      <c r="P90" s="16"/>
      <c r="Q90" s="16"/>
      <c r="R90" s="16"/>
      <c r="S90" s="16"/>
      <c r="T90" s="16"/>
      <c r="U90" s="16"/>
    </row>
    <row r="91" spans="1:21" outlineLevel="1" x14ac:dyDescent="0.25">
      <c r="A91" s="44" t="s">
        <v>44</v>
      </c>
      <c r="B91" s="51"/>
      <c r="C91" s="45">
        <f>-N58*($B$13/12)</f>
        <v>0</v>
      </c>
      <c r="D91" s="45">
        <f t="shared" ref="D91:N91" si="34">-C92*($B$13/12)</f>
        <v>0</v>
      </c>
      <c r="E91" s="45">
        <f t="shared" si="34"/>
        <v>0</v>
      </c>
      <c r="F91" s="45">
        <f t="shared" si="34"/>
        <v>0</v>
      </c>
      <c r="G91" s="45">
        <f t="shared" si="34"/>
        <v>0</v>
      </c>
      <c r="H91" s="45">
        <f t="shared" si="34"/>
        <v>0</v>
      </c>
      <c r="I91" s="45">
        <f t="shared" si="34"/>
        <v>0</v>
      </c>
      <c r="J91" s="45">
        <f t="shared" si="34"/>
        <v>0</v>
      </c>
      <c r="K91" s="45">
        <f t="shared" si="34"/>
        <v>0</v>
      </c>
      <c r="L91" s="45">
        <f t="shared" si="34"/>
        <v>0</v>
      </c>
      <c r="M91" s="45">
        <f t="shared" si="34"/>
        <v>0</v>
      </c>
      <c r="N91" s="45">
        <f t="shared" si="34"/>
        <v>0</v>
      </c>
      <c r="O91" s="16"/>
      <c r="P91" s="16"/>
      <c r="Q91" s="16"/>
      <c r="R91" s="16"/>
      <c r="S91" s="16"/>
      <c r="T91" s="16"/>
      <c r="U91" s="16"/>
    </row>
    <row r="92" spans="1:21" outlineLevel="1" x14ac:dyDescent="0.25">
      <c r="A92" s="28" t="s">
        <v>47</v>
      </c>
      <c r="B92" s="51"/>
      <c r="C92" s="30">
        <f>+N58+SUM(C90:C91)</f>
        <v>0</v>
      </c>
      <c r="D92" s="30">
        <f>+C92+SUM(D90:D91)</f>
        <v>0</v>
      </c>
      <c r="E92" s="30">
        <f>+D92+SUM(E90:E91)</f>
        <v>0</v>
      </c>
      <c r="F92" s="30">
        <f t="shared" ref="F92:N92" si="35">+E92+SUM(F90:F91)</f>
        <v>0</v>
      </c>
      <c r="G92" s="30">
        <f t="shared" si="35"/>
        <v>0</v>
      </c>
      <c r="H92" s="30">
        <f t="shared" si="35"/>
        <v>0</v>
      </c>
      <c r="I92" s="30">
        <f t="shared" si="35"/>
        <v>0</v>
      </c>
      <c r="J92" s="30">
        <f t="shared" si="35"/>
        <v>0</v>
      </c>
      <c r="K92" s="30">
        <f t="shared" si="35"/>
        <v>0</v>
      </c>
      <c r="L92" s="30">
        <f t="shared" si="35"/>
        <v>0</v>
      </c>
      <c r="M92" s="30">
        <f t="shared" si="35"/>
        <v>0</v>
      </c>
      <c r="N92" s="30">
        <f t="shared" si="35"/>
        <v>0</v>
      </c>
      <c r="O92" s="16"/>
      <c r="P92" s="16"/>
      <c r="Q92" s="16"/>
      <c r="R92" s="16"/>
      <c r="S92" s="16"/>
      <c r="T92" s="16"/>
      <c r="U92" s="16"/>
    </row>
    <row r="93" spans="1:21" x14ac:dyDescent="0.25">
      <c r="A93" s="32" t="s">
        <v>42</v>
      </c>
      <c r="B93" s="51"/>
      <c r="C93" s="67">
        <f>C92+C89</f>
        <v>0</v>
      </c>
      <c r="D93" s="67">
        <f t="shared" ref="D93:N93" si="36">D92+D89</f>
        <v>0</v>
      </c>
      <c r="E93" s="67">
        <f t="shared" si="36"/>
        <v>0</v>
      </c>
      <c r="F93" s="67">
        <f t="shared" si="36"/>
        <v>0</v>
      </c>
      <c r="G93" s="67">
        <f t="shared" si="36"/>
        <v>0</v>
      </c>
      <c r="H93" s="67">
        <f t="shared" si="36"/>
        <v>0</v>
      </c>
      <c r="I93" s="67">
        <f t="shared" si="36"/>
        <v>0</v>
      </c>
      <c r="J93" s="67">
        <f t="shared" si="36"/>
        <v>0</v>
      </c>
      <c r="K93" s="67">
        <f t="shared" si="36"/>
        <v>0</v>
      </c>
      <c r="L93" s="67">
        <f t="shared" si="36"/>
        <v>0</v>
      </c>
      <c r="M93" s="67">
        <f t="shared" si="36"/>
        <v>0</v>
      </c>
      <c r="N93" s="67">
        <f t="shared" si="36"/>
        <v>0</v>
      </c>
      <c r="O93" s="42"/>
      <c r="P93" s="16"/>
      <c r="Q93" s="16"/>
      <c r="R93" s="16"/>
      <c r="S93" s="16"/>
      <c r="T93" s="16"/>
      <c r="U93" s="16"/>
    </row>
    <row r="94" spans="1:21" x14ac:dyDescent="0.25">
      <c r="A94" s="28" t="s">
        <v>11</v>
      </c>
      <c r="B94" s="51"/>
      <c r="C94" s="72">
        <f t="shared" ref="C94:N94" si="37">C89*$B$10</f>
        <v>0</v>
      </c>
      <c r="D94" s="72">
        <f t="shared" si="37"/>
        <v>0</v>
      </c>
      <c r="E94" s="72">
        <f t="shared" si="37"/>
        <v>0</v>
      </c>
      <c r="F94" s="72">
        <f t="shared" si="37"/>
        <v>0</v>
      </c>
      <c r="G94" s="72">
        <f t="shared" si="37"/>
        <v>0</v>
      </c>
      <c r="H94" s="72">
        <f t="shared" si="37"/>
        <v>0</v>
      </c>
      <c r="I94" s="72">
        <f t="shared" si="37"/>
        <v>0</v>
      </c>
      <c r="J94" s="72">
        <f t="shared" si="37"/>
        <v>0</v>
      </c>
      <c r="K94" s="72">
        <f t="shared" si="37"/>
        <v>0</v>
      </c>
      <c r="L94" s="72">
        <f t="shared" si="37"/>
        <v>0</v>
      </c>
      <c r="M94" s="72">
        <f t="shared" si="37"/>
        <v>0</v>
      </c>
      <c r="N94" s="72">
        <f t="shared" si="37"/>
        <v>0</v>
      </c>
      <c r="O94" s="16"/>
      <c r="P94" s="16"/>
      <c r="Q94" s="16"/>
      <c r="R94" s="16"/>
      <c r="S94" s="16"/>
      <c r="T94" s="16"/>
      <c r="U94" s="16"/>
    </row>
    <row r="95" spans="1:21" x14ac:dyDescent="0.25">
      <c r="A95" s="28" t="s">
        <v>9</v>
      </c>
      <c r="B95" s="51"/>
      <c r="C95" s="72">
        <f t="shared" ref="C95:N95" si="38">(C92*$B$11)</f>
        <v>0</v>
      </c>
      <c r="D95" s="72">
        <f t="shared" si="38"/>
        <v>0</v>
      </c>
      <c r="E95" s="72">
        <f t="shared" si="38"/>
        <v>0</v>
      </c>
      <c r="F95" s="72">
        <f t="shared" si="38"/>
        <v>0</v>
      </c>
      <c r="G95" s="72">
        <f t="shared" si="38"/>
        <v>0</v>
      </c>
      <c r="H95" s="72">
        <f t="shared" si="38"/>
        <v>0</v>
      </c>
      <c r="I95" s="72">
        <f t="shared" si="38"/>
        <v>0</v>
      </c>
      <c r="J95" s="72">
        <f t="shared" si="38"/>
        <v>0</v>
      </c>
      <c r="K95" s="72">
        <f t="shared" si="38"/>
        <v>0</v>
      </c>
      <c r="L95" s="72">
        <f t="shared" si="38"/>
        <v>0</v>
      </c>
      <c r="M95" s="72">
        <f t="shared" si="38"/>
        <v>0</v>
      </c>
      <c r="N95" s="72">
        <f t="shared" si="38"/>
        <v>0</v>
      </c>
      <c r="O95" s="16"/>
      <c r="P95" s="16"/>
      <c r="Q95" s="16"/>
      <c r="R95" s="16"/>
      <c r="S95" s="16"/>
      <c r="T95" s="16"/>
      <c r="U95" s="16"/>
    </row>
    <row r="96" spans="1:21" x14ac:dyDescent="0.25">
      <c r="A96" s="28" t="s">
        <v>10</v>
      </c>
      <c r="B96" s="51"/>
      <c r="C96" s="72">
        <f>SUM(C94:C95)</f>
        <v>0</v>
      </c>
      <c r="D96" s="72">
        <f t="shared" ref="D96:N96" si="39">SUM(D94:D95)</f>
        <v>0</v>
      </c>
      <c r="E96" s="72">
        <f t="shared" si="39"/>
        <v>0</v>
      </c>
      <c r="F96" s="72">
        <f t="shared" si="39"/>
        <v>0</v>
      </c>
      <c r="G96" s="72">
        <f t="shared" si="39"/>
        <v>0</v>
      </c>
      <c r="H96" s="72">
        <f t="shared" si="39"/>
        <v>0</v>
      </c>
      <c r="I96" s="72">
        <f t="shared" si="39"/>
        <v>0</v>
      </c>
      <c r="J96" s="72">
        <f t="shared" si="39"/>
        <v>0</v>
      </c>
      <c r="K96" s="72">
        <f t="shared" si="39"/>
        <v>0</v>
      </c>
      <c r="L96" s="72">
        <f t="shared" si="39"/>
        <v>0</v>
      </c>
      <c r="M96" s="72">
        <f t="shared" si="39"/>
        <v>0</v>
      </c>
      <c r="N96" s="72">
        <f t="shared" si="39"/>
        <v>0</v>
      </c>
      <c r="O96" s="16"/>
      <c r="P96" s="16"/>
      <c r="Q96" s="16"/>
      <c r="R96" s="16"/>
      <c r="S96" s="16"/>
      <c r="T96" s="16"/>
      <c r="U96" s="16"/>
    </row>
    <row r="97" spans="1:21" x14ac:dyDescent="0.25">
      <c r="A97" s="28" t="s">
        <v>51</v>
      </c>
      <c r="B97" s="51"/>
      <c r="C97" s="72">
        <f t="shared" ref="C97:N97" si="40">(+C93*$B$18)+(C93*$B$19)+(C93*$B$20)</f>
        <v>0</v>
      </c>
      <c r="D97" s="72">
        <f t="shared" si="40"/>
        <v>0</v>
      </c>
      <c r="E97" s="72">
        <f t="shared" si="40"/>
        <v>0</v>
      </c>
      <c r="F97" s="72">
        <f t="shared" si="40"/>
        <v>0</v>
      </c>
      <c r="G97" s="72">
        <f t="shared" si="40"/>
        <v>0</v>
      </c>
      <c r="H97" s="72">
        <f t="shared" si="40"/>
        <v>0</v>
      </c>
      <c r="I97" s="72">
        <f t="shared" si="40"/>
        <v>0</v>
      </c>
      <c r="J97" s="72">
        <f t="shared" si="40"/>
        <v>0</v>
      </c>
      <c r="K97" s="72">
        <f t="shared" si="40"/>
        <v>0</v>
      </c>
      <c r="L97" s="72">
        <f t="shared" si="40"/>
        <v>0</v>
      </c>
      <c r="M97" s="72">
        <f t="shared" si="40"/>
        <v>0</v>
      </c>
      <c r="N97" s="72">
        <f t="shared" si="40"/>
        <v>0</v>
      </c>
      <c r="O97" s="16"/>
      <c r="P97" s="16"/>
      <c r="Q97" s="16"/>
      <c r="R97" s="16"/>
      <c r="S97" s="16"/>
      <c r="T97" s="16"/>
      <c r="U97" s="16"/>
    </row>
    <row r="98" spans="1:21" x14ac:dyDescent="0.25">
      <c r="A98" s="28" t="s">
        <v>133</v>
      </c>
      <c r="B98" s="51"/>
      <c r="C98" s="73">
        <f>C93*$B$17</f>
        <v>0</v>
      </c>
      <c r="D98" s="73">
        <f t="shared" ref="D98:N98" si="41">D93*$B$17</f>
        <v>0</v>
      </c>
      <c r="E98" s="73">
        <f t="shared" si="41"/>
        <v>0</v>
      </c>
      <c r="F98" s="73">
        <f t="shared" si="41"/>
        <v>0</v>
      </c>
      <c r="G98" s="73">
        <f t="shared" si="41"/>
        <v>0</v>
      </c>
      <c r="H98" s="73">
        <f t="shared" si="41"/>
        <v>0</v>
      </c>
      <c r="I98" s="73">
        <f t="shared" si="41"/>
        <v>0</v>
      </c>
      <c r="J98" s="73">
        <f t="shared" si="41"/>
        <v>0</v>
      </c>
      <c r="K98" s="73">
        <f t="shared" si="41"/>
        <v>0</v>
      </c>
      <c r="L98" s="73">
        <f t="shared" si="41"/>
        <v>0</v>
      </c>
      <c r="M98" s="73">
        <f t="shared" si="41"/>
        <v>0</v>
      </c>
      <c r="N98" s="73">
        <f t="shared" si="41"/>
        <v>0</v>
      </c>
      <c r="O98" s="16"/>
      <c r="P98" s="16"/>
      <c r="Q98" s="16"/>
      <c r="R98" s="16"/>
      <c r="S98" s="16"/>
      <c r="T98" s="16"/>
      <c r="U98" s="16"/>
    </row>
    <row r="99" spans="1:21" x14ac:dyDescent="0.25">
      <c r="A99" s="28" t="s">
        <v>36</v>
      </c>
      <c r="B99" s="57"/>
      <c r="C99" s="31">
        <f t="shared" ref="C99:N99" si="42">C86*$B$9</f>
        <v>0</v>
      </c>
      <c r="D99" s="31">
        <f t="shared" si="42"/>
        <v>0</v>
      </c>
      <c r="E99" s="31">
        <f t="shared" si="42"/>
        <v>0</v>
      </c>
      <c r="F99" s="31">
        <f t="shared" si="42"/>
        <v>0</v>
      </c>
      <c r="G99" s="31">
        <f t="shared" si="42"/>
        <v>0</v>
      </c>
      <c r="H99" s="31">
        <f t="shared" si="42"/>
        <v>0</v>
      </c>
      <c r="I99" s="31">
        <f t="shared" si="42"/>
        <v>0</v>
      </c>
      <c r="J99" s="31">
        <f t="shared" si="42"/>
        <v>0</v>
      </c>
      <c r="K99" s="31">
        <f t="shared" si="42"/>
        <v>0</v>
      </c>
      <c r="L99" s="31">
        <f t="shared" si="42"/>
        <v>0</v>
      </c>
      <c r="M99" s="31">
        <f t="shared" si="42"/>
        <v>0</v>
      </c>
      <c r="N99" s="31">
        <f t="shared" si="42"/>
        <v>0</v>
      </c>
      <c r="O99" s="16"/>
      <c r="P99" s="16"/>
      <c r="Q99" s="16"/>
      <c r="R99" s="16"/>
      <c r="S99" s="16"/>
      <c r="T99" s="16"/>
      <c r="U99" s="16"/>
    </row>
    <row r="100" spans="1:21" ht="15.6" x14ac:dyDescent="0.3">
      <c r="A100" s="32" t="s">
        <v>2</v>
      </c>
      <c r="B100" s="51"/>
      <c r="C100" s="33">
        <f>SUM(C96:C99)</f>
        <v>0</v>
      </c>
      <c r="D100" s="33">
        <f t="shared" ref="D100:N100" si="43">SUM(D96:D99)</f>
        <v>0</v>
      </c>
      <c r="E100" s="33">
        <f t="shared" si="43"/>
        <v>0</v>
      </c>
      <c r="F100" s="33">
        <f t="shared" si="43"/>
        <v>0</v>
      </c>
      <c r="G100" s="33">
        <f t="shared" si="43"/>
        <v>0</v>
      </c>
      <c r="H100" s="33">
        <f t="shared" si="43"/>
        <v>0</v>
      </c>
      <c r="I100" s="33">
        <f t="shared" si="43"/>
        <v>0</v>
      </c>
      <c r="J100" s="33">
        <f t="shared" si="43"/>
        <v>0</v>
      </c>
      <c r="K100" s="33">
        <f>SUM(K96:K99)</f>
        <v>0</v>
      </c>
      <c r="L100" s="33">
        <f t="shared" si="43"/>
        <v>0</v>
      </c>
      <c r="M100" s="33">
        <f t="shared" si="43"/>
        <v>0</v>
      </c>
      <c r="N100" s="33">
        <f t="shared" si="43"/>
        <v>0</v>
      </c>
      <c r="O100" s="16"/>
      <c r="P100" s="16"/>
      <c r="Q100" s="16"/>
      <c r="R100" s="16"/>
      <c r="S100" s="16"/>
      <c r="T100" s="16"/>
      <c r="U100" s="16"/>
    </row>
    <row r="101" spans="1:21" x14ac:dyDescent="0.25">
      <c r="A101" s="28" t="s">
        <v>134</v>
      </c>
      <c r="B101" s="51"/>
      <c r="C101" s="72">
        <f>(C96*0.05)+((C99+C98)*0.015)</f>
        <v>0</v>
      </c>
      <c r="D101" s="72">
        <f t="shared" ref="D101:N101" si="44">(D96*0.05)+((D99+D98)*0.015)</f>
        <v>0</v>
      </c>
      <c r="E101" s="72">
        <f t="shared" si="44"/>
        <v>0</v>
      </c>
      <c r="F101" s="72">
        <f t="shared" si="44"/>
        <v>0</v>
      </c>
      <c r="G101" s="72">
        <f t="shared" si="44"/>
        <v>0</v>
      </c>
      <c r="H101" s="72">
        <f t="shared" si="44"/>
        <v>0</v>
      </c>
      <c r="I101" s="72">
        <f t="shared" si="44"/>
        <v>0</v>
      </c>
      <c r="J101" s="72">
        <f t="shared" si="44"/>
        <v>0</v>
      </c>
      <c r="K101" s="72">
        <f t="shared" si="44"/>
        <v>0</v>
      </c>
      <c r="L101" s="72">
        <f t="shared" si="44"/>
        <v>0</v>
      </c>
      <c r="M101" s="72">
        <f t="shared" si="44"/>
        <v>0</v>
      </c>
      <c r="N101" s="72">
        <f t="shared" si="44"/>
        <v>0</v>
      </c>
      <c r="O101" s="16"/>
      <c r="P101" s="16"/>
      <c r="Q101" s="16"/>
      <c r="R101" s="16"/>
      <c r="S101" s="16"/>
      <c r="T101" s="16"/>
      <c r="U101" s="16"/>
    </row>
    <row r="102" spans="1:21" x14ac:dyDescent="0.25">
      <c r="A102" s="28" t="s">
        <v>135</v>
      </c>
      <c r="B102" s="51"/>
      <c r="C102" s="72">
        <f t="shared" ref="C102:N102" si="45">C86*$B$25</f>
        <v>0</v>
      </c>
      <c r="D102" s="72">
        <f t="shared" si="45"/>
        <v>0</v>
      </c>
      <c r="E102" s="72">
        <f t="shared" si="45"/>
        <v>0</v>
      </c>
      <c r="F102" s="72">
        <f t="shared" si="45"/>
        <v>0</v>
      </c>
      <c r="G102" s="72">
        <f t="shared" si="45"/>
        <v>0</v>
      </c>
      <c r="H102" s="72">
        <f t="shared" si="45"/>
        <v>0</v>
      </c>
      <c r="I102" s="72">
        <f t="shared" si="45"/>
        <v>0</v>
      </c>
      <c r="J102" s="72">
        <f t="shared" si="45"/>
        <v>0</v>
      </c>
      <c r="K102" s="72">
        <f t="shared" si="45"/>
        <v>0</v>
      </c>
      <c r="L102" s="72">
        <f t="shared" si="45"/>
        <v>0</v>
      </c>
      <c r="M102" s="72">
        <f t="shared" si="45"/>
        <v>0</v>
      </c>
      <c r="N102" s="72">
        <f t="shared" si="45"/>
        <v>0</v>
      </c>
      <c r="O102" s="16"/>
      <c r="P102" s="16"/>
      <c r="Q102" s="16"/>
      <c r="R102" s="16"/>
      <c r="S102" s="16"/>
      <c r="T102" s="16"/>
      <c r="U102" s="16"/>
    </row>
    <row r="103" spans="1:21" x14ac:dyDescent="0.25">
      <c r="A103" s="28" t="s">
        <v>52</v>
      </c>
      <c r="B103" s="53"/>
      <c r="C103" s="72">
        <f t="shared" ref="C103:N103" si="46">($B$18*C93)*$B$23</f>
        <v>0</v>
      </c>
      <c r="D103" s="72">
        <f t="shared" si="46"/>
        <v>0</v>
      </c>
      <c r="E103" s="72">
        <f t="shared" si="46"/>
        <v>0</v>
      </c>
      <c r="F103" s="72">
        <f t="shared" si="46"/>
        <v>0</v>
      </c>
      <c r="G103" s="72">
        <f t="shared" si="46"/>
        <v>0</v>
      </c>
      <c r="H103" s="72">
        <f t="shared" si="46"/>
        <v>0</v>
      </c>
      <c r="I103" s="72">
        <f t="shared" si="46"/>
        <v>0</v>
      </c>
      <c r="J103" s="72">
        <f t="shared" si="46"/>
        <v>0</v>
      </c>
      <c r="K103" s="72">
        <f t="shared" si="46"/>
        <v>0</v>
      </c>
      <c r="L103" s="72">
        <f t="shared" si="46"/>
        <v>0</v>
      </c>
      <c r="M103" s="72">
        <f t="shared" si="46"/>
        <v>0</v>
      </c>
      <c r="N103" s="72">
        <f t="shared" si="46"/>
        <v>0</v>
      </c>
      <c r="O103" s="16"/>
      <c r="P103" s="16"/>
      <c r="Q103" s="16"/>
      <c r="R103" s="16"/>
      <c r="S103" s="16"/>
      <c r="T103" s="16"/>
      <c r="U103" s="16"/>
    </row>
    <row r="104" spans="1:21" x14ac:dyDescent="0.25">
      <c r="A104" s="49" t="s">
        <v>84</v>
      </c>
      <c r="B104" s="53"/>
      <c r="C104" s="88">
        <f>C98*$B$24</f>
        <v>0</v>
      </c>
      <c r="D104" s="72">
        <f t="shared" ref="D104:N104" si="47">D98*$B$24</f>
        <v>0</v>
      </c>
      <c r="E104" s="72">
        <f t="shared" si="47"/>
        <v>0</v>
      </c>
      <c r="F104" s="72">
        <f t="shared" si="47"/>
        <v>0</v>
      </c>
      <c r="G104" s="72">
        <f t="shared" si="47"/>
        <v>0</v>
      </c>
      <c r="H104" s="72">
        <f t="shared" si="47"/>
        <v>0</v>
      </c>
      <c r="I104" s="72">
        <f t="shared" si="47"/>
        <v>0</v>
      </c>
      <c r="J104" s="72">
        <f t="shared" si="47"/>
        <v>0</v>
      </c>
      <c r="K104" s="72">
        <f t="shared" si="47"/>
        <v>0</v>
      </c>
      <c r="L104" s="72">
        <f t="shared" si="47"/>
        <v>0</v>
      </c>
      <c r="M104" s="72">
        <f t="shared" si="47"/>
        <v>0</v>
      </c>
      <c r="N104" s="72">
        <f t="shared" si="47"/>
        <v>0</v>
      </c>
      <c r="O104" s="16"/>
      <c r="P104" s="16"/>
      <c r="Q104" s="16"/>
      <c r="R104" s="16"/>
      <c r="S104" s="16"/>
      <c r="T104" s="16"/>
      <c r="U104" s="16"/>
    </row>
    <row r="105" spans="1:21" ht="15.6" x14ac:dyDescent="0.3">
      <c r="A105" s="32" t="s">
        <v>85</v>
      </c>
      <c r="B105" s="53"/>
      <c r="C105" s="34">
        <f>SUM(C101:C104)</f>
        <v>0</v>
      </c>
      <c r="D105" s="34">
        <f t="shared" ref="D105" si="48">SUM(D101:D104)</f>
        <v>0</v>
      </c>
      <c r="E105" s="34">
        <f t="shared" ref="E105" si="49">SUM(E101:E104)</f>
        <v>0</v>
      </c>
      <c r="F105" s="34">
        <f t="shared" ref="F105" si="50">SUM(F101:F104)</f>
        <v>0</v>
      </c>
      <c r="G105" s="34">
        <f t="shared" ref="G105" si="51">SUM(G101:G104)</f>
        <v>0</v>
      </c>
      <c r="H105" s="34">
        <f t="shared" ref="H105" si="52">SUM(H101:H104)</f>
        <v>0</v>
      </c>
      <c r="I105" s="34">
        <f t="shared" ref="I105" si="53">SUM(I101:I104)</f>
        <v>0</v>
      </c>
      <c r="J105" s="34">
        <f t="shared" ref="J105" si="54">SUM(J101:J104)</f>
        <v>0</v>
      </c>
      <c r="K105" s="34">
        <f t="shared" ref="K105" si="55">SUM(K101:K104)</f>
        <v>0</v>
      </c>
      <c r="L105" s="34">
        <f t="shared" ref="L105" si="56">SUM(L101:L104)</f>
        <v>0</v>
      </c>
      <c r="M105" s="34">
        <f t="shared" ref="M105" si="57">SUM(M101:M104)</f>
        <v>0</v>
      </c>
      <c r="N105" s="34">
        <f t="shared" ref="N105" si="58">SUM(N101:N104)</f>
        <v>0</v>
      </c>
      <c r="O105" s="16"/>
      <c r="P105" s="16"/>
      <c r="Q105" s="16"/>
      <c r="R105" s="16"/>
      <c r="S105" s="16"/>
      <c r="T105" s="16"/>
      <c r="U105" s="16"/>
    </row>
    <row r="106" spans="1:21" ht="15.6" x14ac:dyDescent="0.3">
      <c r="A106" s="32" t="s">
        <v>90</v>
      </c>
      <c r="B106" s="53"/>
      <c r="C106" s="33">
        <f>C100-C105</f>
        <v>0</v>
      </c>
      <c r="D106" s="33">
        <f t="shared" ref="D106" si="59">D100-D105</f>
        <v>0</v>
      </c>
      <c r="E106" s="33">
        <f t="shared" ref="E106" si="60">E100-E105</f>
        <v>0</v>
      </c>
      <c r="F106" s="33">
        <f t="shared" ref="F106" si="61">F100-F105</f>
        <v>0</v>
      </c>
      <c r="G106" s="33">
        <f t="shared" ref="G106" si="62">G100-G105</f>
        <v>0</v>
      </c>
      <c r="H106" s="33">
        <f t="shared" ref="H106" si="63">H100-H105</f>
        <v>0</v>
      </c>
      <c r="I106" s="33">
        <f t="shared" ref="I106" si="64">I100-I105</f>
        <v>0</v>
      </c>
      <c r="J106" s="33">
        <f t="shared" ref="J106" si="65">J100-J105</f>
        <v>0</v>
      </c>
      <c r="K106" s="33">
        <f t="shared" ref="K106" si="66">K100-K105</f>
        <v>0</v>
      </c>
      <c r="L106" s="33">
        <f t="shared" ref="L106" si="67">L100-L105</f>
        <v>0</v>
      </c>
      <c r="M106" s="33">
        <f t="shared" ref="M106" si="68">M100-M105</f>
        <v>0</v>
      </c>
      <c r="N106" s="33">
        <f t="shared" ref="N106" si="69">N100-N105</f>
        <v>0</v>
      </c>
      <c r="O106" s="16"/>
      <c r="P106" s="16"/>
      <c r="Q106" s="16"/>
      <c r="R106" s="16"/>
      <c r="S106" s="16"/>
      <c r="T106" s="16"/>
      <c r="U106" s="16"/>
    </row>
    <row r="107" spans="1:21" x14ac:dyDescent="0.25">
      <c r="A107" s="28" t="s">
        <v>125</v>
      </c>
      <c r="B107" s="53"/>
      <c r="C107" s="72">
        <f>$B$34</f>
        <v>0</v>
      </c>
      <c r="D107" s="72">
        <f t="shared" ref="D107:N107" si="70">$B$34</f>
        <v>0</v>
      </c>
      <c r="E107" s="72">
        <f t="shared" si="70"/>
        <v>0</v>
      </c>
      <c r="F107" s="72">
        <f t="shared" si="70"/>
        <v>0</v>
      </c>
      <c r="G107" s="72">
        <f t="shared" si="70"/>
        <v>0</v>
      </c>
      <c r="H107" s="72">
        <f t="shared" si="70"/>
        <v>0</v>
      </c>
      <c r="I107" s="72">
        <f t="shared" si="70"/>
        <v>0</v>
      </c>
      <c r="J107" s="72">
        <f t="shared" si="70"/>
        <v>0</v>
      </c>
      <c r="K107" s="72">
        <f t="shared" si="70"/>
        <v>0</v>
      </c>
      <c r="L107" s="72">
        <f t="shared" si="70"/>
        <v>0</v>
      </c>
      <c r="M107" s="72">
        <f t="shared" si="70"/>
        <v>0</v>
      </c>
      <c r="N107" s="72">
        <f t="shared" si="70"/>
        <v>0</v>
      </c>
      <c r="O107" s="16"/>
      <c r="P107" s="16"/>
      <c r="Q107" s="16"/>
      <c r="R107" s="16"/>
      <c r="S107" s="16"/>
      <c r="T107" s="16"/>
      <c r="U107" s="16"/>
    </row>
    <row r="108" spans="1:21" x14ac:dyDescent="0.25">
      <c r="A108" s="28" t="s">
        <v>95</v>
      </c>
      <c r="B108" s="53"/>
      <c r="C108" s="72">
        <f>$B$30+$B$31+$B$32</f>
        <v>0</v>
      </c>
      <c r="D108" s="72">
        <f t="shared" ref="D108:N108" si="71">$B$30+$B$31+$B$32</f>
        <v>0</v>
      </c>
      <c r="E108" s="72">
        <f t="shared" si="71"/>
        <v>0</v>
      </c>
      <c r="F108" s="72">
        <f t="shared" si="71"/>
        <v>0</v>
      </c>
      <c r="G108" s="72">
        <f t="shared" si="71"/>
        <v>0</v>
      </c>
      <c r="H108" s="72">
        <f t="shared" si="71"/>
        <v>0</v>
      </c>
      <c r="I108" s="72">
        <f t="shared" si="71"/>
        <v>0</v>
      </c>
      <c r="J108" s="72">
        <f t="shared" si="71"/>
        <v>0</v>
      </c>
      <c r="K108" s="72">
        <f t="shared" si="71"/>
        <v>0</v>
      </c>
      <c r="L108" s="72">
        <f t="shared" si="71"/>
        <v>0</v>
      </c>
      <c r="M108" s="72">
        <f t="shared" si="71"/>
        <v>0</v>
      </c>
      <c r="N108" s="72">
        <f t="shared" si="71"/>
        <v>0</v>
      </c>
      <c r="O108" s="16"/>
      <c r="P108" s="16"/>
      <c r="Q108" s="16"/>
      <c r="R108" s="16"/>
      <c r="S108" s="16"/>
      <c r="T108" s="16"/>
      <c r="U108" s="16"/>
    </row>
    <row r="109" spans="1:21" x14ac:dyDescent="0.25">
      <c r="A109" s="28" t="s">
        <v>98</v>
      </c>
      <c r="B109" s="53"/>
      <c r="C109" s="72">
        <f>$B$33</f>
        <v>0</v>
      </c>
      <c r="D109" s="72">
        <f t="shared" ref="D109:N109" si="72">$B$33</f>
        <v>0</v>
      </c>
      <c r="E109" s="72">
        <f t="shared" si="72"/>
        <v>0</v>
      </c>
      <c r="F109" s="72">
        <f t="shared" si="72"/>
        <v>0</v>
      </c>
      <c r="G109" s="72">
        <f t="shared" si="72"/>
        <v>0</v>
      </c>
      <c r="H109" s="72">
        <f t="shared" si="72"/>
        <v>0</v>
      </c>
      <c r="I109" s="72">
        <f t="shared" si="72"/>
        <v>0</v>
      </c>
      <c r="J109" s="72">
        <f t="shared" si="72"/>
        <v>0</v>
      </c>
      <c r="K109" s="72">
        <f t="shared" si="72"/>
        <v>0</v>
      </c>
      <c r="L109" s="72">
        <f t="shared" si="72"/>
        <v>0</v>
      </c>
      <c r="M109" s="72">
        <f t="shared" si="72"/>
        <v>0</v>
      </c>
      <c r="N109" s="72">
        <f t="shared" si="72"/>
        <v>0</v>
      </c>
      <c r="O109" s="16"/>
      <c r="P109" s="16"/>
      <c r="Q109" s="16"/>
      <c r="R109" s="16"/>
      <c r="S109" s="16"/>
      <c r="T109" s="16"/>
      <c r="U109" s="16"/>
    </row>
    <row r="110" spans="1:21" x14ac:dyDescent="0.25">
      <c r="A110" s="28" t="s">
        <v>124</v>
      </c>
      <c r="B110" s="53"/>
      <c r="C110" s="72">
        <f>($B$35+$B$36+$B$29)-(IF($B$46&gt;12,$B$29,0))</f>
        <v>0</v>
      </c>
      <c r="D110" s="72">
        <f>($B$35+$B$36+$B$29)-(IF($B$46&gt;13,$B$29,0))</f>
        <v>0</v>
      </c>
      <c r="E110" s="72">
        <f>($B$35+$B$36+$B$29)-(IF($B$46&gt;14,$B$29,0))</f>
        <v>0</v>
      </c>
      <c r="F110" s="72">
        <f>($B$35+$B$36+$B$29)-(IF($B$46&gt;15,$B$29,0))</f>
        <v>0</v>
      </c>
      <c r="G110" s="72">
        <f>($B$35+$B$36+$B$29)-(IF($B$46&gt;16,$B$29,0))</f>
        <v>0</v>
      </c>
      <c r="H110" s="72">
        <f>($B$35+$B$36+$B$29)-(IF($B$46&gt;17,$B$29,0))</f>
        <v>0</v>
      </c>
      <c r="I110" s="72">
        <f>($B$35+$B$36+$B$29)-(IF($B$46&gt;18,$B$29,0))</f>
        <v>0</v>
      </c>
      <c r="J110" s="72">
        <f>($B$35+$B$36+$B$29)-(IF($B$46&gt;19,$B$29,0))</f>
        <v>0</v>
      </c>
      <c r="K110" s="72">
        <f>($B$35+$B$36+$B$29)-(IF($B$46&gt;20,$B$29,0))</f>
        <v>0</v>
      </c>
      <c r="L110" s="72">
        <f>($B$35+$B$36+$B$29)-(IF($B$46&gt;21,$B$29,0))</f>
        <v>0</v>
      </c>
      <c r="M110" s="72">
        <f>($B$35+$B$36+$B$29)-(IF($B$46&gt;22,$B$29,0))</f>
        <v>0</v>
      </c>
      <c r="N110" s="72">
        <f>($B$35+$B$36+$B$29)-(IF($B$46&gt;23,$B$29,0))</f>
        <v>0</v>
      </c>
      <c r="O110" s="16"/>
      <c r="P110" s="16"/>
      <c r="Q110" s="16"/>
      <c r="R110" s="16"/>
      <c r="S110" s="16"/>
      <c r="T110" s="16"/>
      <c r="U110" s="16"/>
    </row>
    <row r="111" spans="1:21" x14ac:dyDescent="0.25">
      <c r="A111" s="28" t="s">
        <v>88</v>
      </c>
      <c r="B111" s="53"/>
      <c r="C111" s="72">
        <f>$B$38+$B$37</f>
        <v>0</v>
      </c>
      <c r="D111" s="72">
        <f t="shared" ref="D111:N111" si="73">$B$38+$B$37</f>
        <v>0</v>
      </c>
      <c r="E111" s="72">
        <f t="shared" si="73"/>
        <v>0</v>
      </c>
      <c r="F111" s="72">
        <f t="shared" si="73"/>
        <v>0</v>
      </c>
      <c r="G111" s="72">
        <f t="shared" si="73"/>
        <v>0</v>
      </c>
      <c r="H111" s="72">
        <f t="shared" si="73"/>
        <v>0</v>
      </c>
      <c r="I111" s="72">
        <f t="shared" si="73"/>
        <v>0</v>
      </c>
      <c r="J111" s="72">
        <f t="shared" si="73"/>
        <v>0</v>
      </c>
      <c r="K111" s="72">
        <f t="shared" si="73"/>
        <v>0</v>
      </c>
      <c r="L111" s="72">
        <f t="shared" si="73"/>
        <v>0</v>
      </c>
      <c r="M111" s="72">
        <f t="shared" si="73"/>
        <v>0</v>
      </c>
      <c r="N111" s="72">
        <f t="shared" si="73"/>
        <v>0</v>
      </c>
      <c r="O111" s="16"/>
      <c r="P111" s="16"/>
      <c r="Q111" s="16"/>
      <c r="R111" s="16"/>
      <c r="S111" s="16"/>
      <c r="T111" s="16"/>
      <c r="U111" s="16"/>
    </row>
    <row r="112" spans="1:21" x14ac:dyDescent="0.25">
      <c r="A112" s="28" t="s">
        <v>89</v>
      </c>
      <c r="B112" s="53"/>
      <c r="C112" s="72">
        <f>$B$39+$B$40+$B$41+$B$42</f>
        <v>0</v>
      </c>
      <c r="D112" s="72">
        <f t="shared" ref="D112:N112" si="74">$B$39+$B$40+$B$41+$B$42</f>
        <v>0</v>
      </c>
      <c r="E112" s="72">
        <f t="shared" si="74"/>
        <v>0</v>
      </c>
      <c r="F112" s="72">
        <f t="shared" si="74"/>
        <v>0</v>
      </c>
      <c r="G112" s="72">
        <f t="shared" si="74"/>
        <v>0</v>
      </c>
      <c r="H112" s="72">
        <f t="shared" si="74"/>
        <v>0</v>
      </c>
      <c r="I112" s="72">
        <f t="shared" si="74"/>
        <v>0</v>
      </c>
      <c r="J112" s="72">
        <f t="shared" si="74"/>
        <v>0</v>
      </c>
      <c r="K112" s="72">
        <f t="shared" si="74"/>
        <v>0</v>
      </c>
      <c r="L112" s="72">
        <f t="shared" si="74"/>
        <v>0</v>
      </c>
      <c r="M112" s="72">
        <f t="shared" si="74"/>
        <v>0</v>
      </c>
      <c r="N112" s="72">
        <f t="shared" si="74"/>
        <v>0</v>
      </c>
      <c r="O112" s="16"/>
      <c r="P112" s="16"/>
      <c r="Q112" s="16"/>
      <c r="R112" s="16"/>
      <c r="S112" s="16"/>
      <c r="T112" s="16"/>
      <c r="U112" s="16"/>
    </row>
    <row r="113" spans="1:21" x14ac:dyDescent="0.25">
      <c r="A113" s="28" t="s">
        <v>33</v>
      </c>
      <c r="B113" s="53"/>
      <c r="C113" s="72">
        <f t="shared" ref="C113:N113" si="75">$B$43*C96</f>
        <v>0</v>
      </c>
      <c r="D113" s="72">
        <f t="shared" si="75"/>
        <v>0</v>
      </c>
      <c r="E113" s="72">
        <f t="shared" si="75"/>
        <v>0</v>
      </c>
      <c r="F113" s="72">
        <f t="shared" si="75"/>
        <v>0</v>
      </c>
      <c r="G113" s="72">
        <f t="shared" si="75"/>
        <v>0</v>
      </c>
      <c r="H113" s="72">
        <f t="shared" si="75"/>
        <v>0</v>
      </c>
      <c r="I113" s="72">
        <f t="shared" si="75"/>
        <v>0</v>
      </c>
      <c r="J113" s="72">
        <f t="shared" si="75"/>
        <v>0</v>
      </c>
      <c r="K113" s="72">
        <f t="shared" si="75"/>
        <v>0</v>
      </c>
      <c r="L113" s="72">
        <f t="shared" si="75"/>
        <v>0</v>
      </c>
      <c r="M113" s="72">
        <f t="shared" si="75"/>
        <v>0</v>
      </c>
      <c r="N113" s="72">
        <f t="shared" si="75"/>
        <v>0</v>
      </c>
      <c r="O113" s="16"/>
      <c r="P113" s="16"/>
      <c r="Q113" s="16"/>
      <c r="R113" s="16"/>
      <c r="S113" s="16"/>
      <c r="T113" s="16"/>
      <c r="U113" s="16"/>
    </row>
    <row r="114" spans="1:21" ht="15.6" x14ac:dyDescent="0.3">
      <c r="A114" s="32" t="s">
        <v>91</v>
      </c>
      <c r="B114" s="53"/>
      <c r="C114" s="34">
        <f>SUM(C107:C113)</f>
        <v>0</v>
      </c>
      <c r="D114" s="34">
        <f t="shared" ref="D114" si="76">SUM(D107:D113)</f>
        <v>0</v>
      </c>
      <c r="E114" s="34">
        <f t="shared" ref="E114" si="77">SUM(E107:E113)</f>
        <v>0</v>
      </c>
      <c r="F114" s="34">
        <f t="shared" ref="F114" si="78">SUM(F107:F113)</f>
        <v>0</v>
      </c>
      <c r="G114" s="34">
        <f t="shared" ref="G114" si="79">SUM(G107:G113)</f>
        <v>0</v>
      </c>
      <c r="H114" s="34">
        <f t="shared" ref="H114" si="80">SUM(H107:H113)</f>
        <v>0</v>
      </c>
      <c r="I114" s="34">
        <f t="shared" ref="I114" si="81">SUM(I107:I113)</f>
        <v>0</v>
      </c>
      <c r="J114" s="34">
        <f t="shared" ref="J114" si="82">SUM(J107:J113)</f>
        <v>0</v>
      </c>
      <c r="K114" s="34">
        <f t="shared" ref="K114" si="83">SUM(K107:K113)</f>
        <v>0</v>
      </c>
      <c r="L114" s="34">
        <f t="shared" ref="L114" si="84">SUM(L107:L113)</f>
        <v>0</v>
      </c>
      <c r="M114" s="34">
        <f t="shared" ref="M114" si="85">SUM(M107:M113)</f>
        <v>0</v>
      </c>
      <c r="N114" s="34">
        <f t="shared" ref="N114" si="86">SUM(N107:N113)</f>
        <v>0</v>
      </c>
      <c r="O114" s="16"/>
      <c r="P114" s="16"/>
      <c r="Q114" s="16"/>
      <c r="R114" s="16"/>
      <c r="S114" s="16"/>
      <c r="T114" s="16"/>
      <c r="U114" s="16"/>
    </row>
    <row r="115" spans="1:21" ht="15.6" x14ac:dyDescent="0.3">
      <c r="A115" s="32" t="s">
        <v>131</v>
      </c>
      <c r="B115" s="53"/>
      <c r="C115" s="34">
        <f>C105+C114</f>
        <v>0</v>
      </c>
      <c r="D115" s="34">
        <f t="shared" ref="D115:N115" si="87">D105+D114</f>
        <v>0</v>
      </c>
      <c r="E115" s="34">
        <f t="shared" si="87"/>
        <v>0</v>
      </c>
      <c r="F115" s="34">
        <f t="shared" si="87"/>
        <v>0</v>
      </c>
      <c r="G115" s="34">
        <f t="shared" si="87"/>
        <v>0</v>
      </c>
      <c r="H115" s="34">
        <f t="shared" si="87"/>
        <v>0</v>
      </c>
      <c r="I115" s="34">
        <f t="shared" si="87"/>
        <v>0</v>
      </c>
      <c r="J115" s="34">
        <f t="shared" si="87"/>
        <v>0</v>
      </c>
      <c r="K115" s="34">
        <f t="shared" si="87"/>
        <v>0</v>
      </c>
      <c r="L115" s="34">
        <f t="shared" si="87"/>
        <v>0</v>
      </c>
      <c r="M115" s="34">
        <f t="shared" si="87"/>
        <v>0</v>
      </c>
      <c r="N115" s="34">
        <f t="shared" si="87"/>
        <v>0</v>
      </c>
      <c r="O115" s="16"/>
      <c r="P115" s="16"/>
      <c r="Q115" s="16"/>
      <c r="R115" s="16"/>
      <c r="S115" s="16"/>
      <c r="T115" s="16"/>
      <c r="U115" s="16"/>
    </row>
    <row r="116" spans="1:21" x14ac:dyDescent="0.25">
      <c r="A116" s="32" t="s">
        <v>83</v>
      </c>
      <c r="B116" s="53"/>
      <c r="C116" s="70">
        <f t="shared" ref="C116:N116" si="88">C100-C115</f>
        <v>0</v>
      </c>
      <c r="D116" s="70">
        <f t="shared" si="88"/>
        <v>0</v>
      </c>
      <c r="E116" s="70">
        <f t="shared" si="88"/>
        <v>0</v>
      </c>
      <c r="F116" s="70">
        <f t="shared" si="88"/>
        <v>0</v>
      </c>
      <c r="G116" s="70">
        <f t="shared" si="88"/>
        <v>0</v>
      </c>
      <c r="H116" s="70">
        <f t="shared" si="88"/>
        <v>0</v>
      </c>
      <c r="I116" s="70">
        <f t="shared" si="88"/>
        <v>0</v>
      </c>
      <c r="J116" s="70">
        <f t="shared" si="88"/>
        <v>0</v>
      </c>
      <c r="K116" s="70">
        <f t="shared" si="88"/>
        <v>0</v>
      </c>
      <c r="L116" s="70">
        <f t="shared" si="88"/>
        <v>0</v>
      </c>
      <c r="M116" s="70">
        <f t="shared" si="88"/>
        <v>0</v>
      </c>
      <c r="N116" s="70">
        <f t="shared" si="88"/>
        <v>0</v>
      </c>
      <c r="O116" s="16"/>
      <c r="P116" s="16"/>
      <c r="Q116" s="16"/>
      <c r="R116" s="16"/>
      <c r="S116" s="16"/>
      <c r="T116" s="16"/>
      <c r="U116" s="16"/>
    </row>
    <row r="117" spans="1:21" ht="14.4" thickBot="1" x14ac:dyDescent="0.3">
      <c r="A117" s="35" t="s">
        <v>0</v>
      </c>
      <c r="B117" s="54"/>
      <c r="C117" s="71">
        <f>C116+B117</f>
        <v>0</v>
      </c>
      <c r="D117" s="71">
        <f>D116+C117</f>
        <v>0</v>
      </c>
      <c r="E117" s="71">
        <f t="shared" ref="E117" si="89">E116+D117</f>
        <v>0</v>
      </c>
      <c r="F117" s="71">
        <f t="shared" ref="F117" si="90">F116+E117</f>
        <v>0</v>
      </c>
      <c r="G117" s="71">
        <f t="shared" ref="G117" si="91">G116+F117</f>
        <v>0</v>
      </c>
      <c r="H117" s="71">
        <f t="shared" ref="H117" si="92">H116+G117</f>
        <v>0</v>
      </c>
      <c r="I117" s="71">
        <f t="shared" ref="I117" si="93">I116+H117</f>
        <v>0</v>
      </c>
      <c r="J117" s="71">
        <f t="shared" ref="J117" si="94">J116+I117</f>
        <v>0</v>
      </c>
      <c r="K117" s="71">
        <f t="shared" ref="K117" si="95">K116+J117</f>
        <v>0</v>
      </c>
      <c r="L117" s="71">
        <f t="shared" ref="L117" si="96">L116+K117</f>
        <v>0</v>
      </c>
      <c r="M117" s="71">
        <f t="shared" ref="M117" si="97">M116+L117</f>
        <v>0</v>
      </c>
      <c r="N117" s="71">
        <f t="shared" ref="N117" si="98">N116+M117</f>
        <v>0</v>
      </c>
      <c r="O117" s="16"/>
      <c r="P117" s="16"/>
      <c r="Q117" s="16"/>
      <c r="R117" s="16"/>
      <c r="S117" s="16"/>
      <c r="T117" s="16"/>
      <c r="U117" s="16"/>
    </row>
    <row r="118" spans="1:21" x14ac:dyDescent="0.25">
      <c r="A118" s="14"/>
      <c r="B118" s="1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 spans="1:21" x14ac:dyDescent="0.25">
      <c r="A119" s="24" t="s">
        <v>13</v>
      </c>
      <c r="B119" s="51"/>
      <c r="C119" s="36" t="s">
        <v>66</v>
      </c>
      <c r="D119" s="36" t="s">
        <v>67</v>
      </c>
      <c r="E119" s="36" t="s">
        <v>68</v>
      </c>
      <c r="F119" s="36" t="s">
        <v>69</v>
      </c>
      <c r="G119" s="36" t="s">
        <v>70</v>
      </c>
      <c r="H119" s="36" t="s">
        <v>71</v>
      </c>
      <c r="I119" s="36" t="s">
        <v>72</v>
      </c>
      <c r="J119" s="36" t="s">
        <v>73</v>
      </c>
      <c r="K119" s="36" t="s">
        <v>74</v>
      </c>
      <c r="L119" s="36" t="s">
        <v>75</v>
      </c>
      <c r="M119" s="36" t="s">
        <v>76</v>
      </c>
      <c r="N119" s="36" t="s">
        <v>77</v>
      </c>
      <c r="O119" s="16"/>
      <c r="P119" s="16"/>
      <c r="Q119" s="16"/>
      <c r="R119" s="16"/>
      <c r="S119" s="16"/>
      <c r="T119" s="16"/>
      <c r="U119" s="16"/>
    </row>
    <row r="120" spans="1:21" s="4" customFormat="1" x14ac:dyDescent="0.25">
      <c r="A120" s="28" t="s">
        <v>37</v>
      </c>
      <c r="B120" s="56"/>
      <c r="C120" s="81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3"/>
      <c r="O120" s="16"/>
      <c r="P120" s="16"/>
      <c r="Q120" s="16"/>
      <c r="R120" s="16"/>
      <c r="S120" s="16"/>
      <c r="T120" s="16"/>
      <c r="U120" s="16"/>
    </row>
    <row r="121" spans="1:21" outlineLevel="1" x14ac:dyDescent="0.25">
      <c r="A121" s="28" t="s">
        <v>12</v>
      </c>
      <c r="B121" s="51"/>
      <c r="C121" s="29">
        <f t="shared" ref="C121:N121" si="99">ROUND((C120*(1-$B$6)),0)</f>
        <v>0</v>
      </c>
      <c r="D121" s="29">
        <f t="shared" si="99"/>
        <v>0</v>
      </c>
      <c r="E121" s="29">
        <f t="shared" si="99"/>
        <v>0</v>
      </c>
      <c r="F121" s="29">
        <f t="shared" si="99"/>
        <v>0</v>
      </c>
      <c r="G121" s="29">
        <f t="shared" si="99"/>
        <v>0</v>
      </c>
      <c r="H121" s="29">
        <f t="shared" si="99"/>
        <v>0</v>
      </c>
      <c r="I121" s="29">
        <f t="shared" si="99"/>
        <v>0</v>
      </c>
      <c r="J121" s="29">
        <f t="shared" si="99"/>
        <v>0</v>
      </c>
      <c r="K121" s="29">
        <f t="shared" si="99"/>
        <v>0</v>
      </c>
      <c r="L121" s="29">
        <f t="shared" si="99"/>
        <v>0</v>
      </c>
      <c r="M121" s="29">
        <f t="shared" si="99"/>
        <v>0</v>
      </c>
      <c r="N121" s="29">
        <f t="shared" si="99"/>
        <v>0</v>
      </c>
      <c r="O121" s="16"/>
      <c r="P121" s="16"/>
      <c r="Q121" s="16"/>
      <c r="R121" s="16"/>
      <c r="S121" s="16"/>
      <c r="T121" s="16"/>
      <c r="U121" s="16"/>
    </row>
    <row r="122" spans="1:21" outlineLevel="1" x14ac:dyDescent="0.25">
      <c r="A122" s="44" t="s">
        <v>45</v>
      </c>
      <c r="B122" s="51"/>
      <c r="C122" s="45">
        <f>-N89*($B$13/12)</f>
        <v>0</v>
      </c>
      <c r="D122" s="45">
        <f t="shared" ref="D122:N122" si="100">-C123*($B$13/12)</f>
        <v>0</v>
      </c>
      <c r="E122" s="45">
        <f t="shared" si="100"/>
        <v>0</v>
      </c>
      <c r="F122" s="45">
        <f t="shared" si="100"/>
        <v>0</v>
      </c>
      <c r="G122" s="45">
        <f t="shared" si="100"/>
        <v>0</v>
      </c>
      <c r="H122" s="45">
        <f t="shared" si="100"/>
        <v>0</v>
      </c>
      <c r="I122" s="45">
        <f t="shared" si="100"/>
        <v>0</v>
      </c>
      <c r="J122" s="45">
        <f t="shared" si="100"/>
        <v>0</v>
      </c>
      <c r="K122" s="45">
        <f t="shared" si="100"/>
        <v>0</v>
      </c>
      <c r="L122" s="45">
        <f t="shared" si="100"/>
        <v>0</v>
      </c>
      <c r="M122" s="45">
        <f t="shared" si="100"/>
        <v>0</v>
      </c>
      <c r="N122" s="45">
        <f t="shared" si="100"/>
        <v>0</v>
      </c>
      <c r="O122" s="16"/>
      <c r="P122" s="16"/>
      <c r="Q122" s="16"/>
      <c r="R122" s="16"/>
      <c r="S122" s="16"/>
      <c r="T122" s="16"/>
      <c r="U122" s="16"/>
    </row>
    <row r="123" spans="1:21" outlineLevel="1" x14ac:dyDescent="0.25">
      <c r="A123" s="28" t="s">
        <v>46</v>
      </c>
      <c r="B123" s="51"/>
      <c r="C123" s="48">
        <f>N89+SUM(C121:C122)</f>
        <v>0</v>
      </c>
      <c r="D123" s="47">
        <f>C123+SUM(D121:D122)</f>
        <v>0</v>
      </c>
      <c r="E123" s="47">
        <f t="shared" ref="E123:N123" si="101">D123+SUM(E121:E122)</f>
        <v>0</v>
      </c>
      <c r="F123" s="47">
        <f t="shared" si="101"/>
        <v>0</v>
      </c>
      <c r="G123" s="47">
        <f t="shared" si="101"/>
        <v>0</v>
      </c>
      <c r="H123" s="47">
        <f t="shared" si="101"/>
        <v>0</v>
      </c>
      <c r="I123" s="47">
        <f t="shared" si="101"/>
        <v>0</v>
      </c>
      <c r="J123" s="47">
        <f t="shared" si="101"/>
        <v>0</v>
      </c>
      <c r="K123" s="47">
        <f t="shared" si="101"/>
        <v>0</v>
      </c>
      <c r="L123" s="47">
        <f t="shared" si="101"/>
        <v>0</v>
      </c>
      <c r="M123" s="47">
        <f t="shared" si="101"/>
        <v>0</v>
      </c>
      <c r="N123" s="47">
        <f t="shared" si="101"/>
        <v>0</v>
      </c>
      <c r="O123" s="16"/>
      <c r="P123" s="16"/>
      <c r="Q123" s="16"/>
      <c r="R123" s="16"/>
      <c r="S123" s="16"/>
      <c r="T123" s="16"/>
      <c r="U123" s="16"/>
    </row>
    <row r="124" spans="1:21" outlineLevel="1" x14ac:dyDescent="0.25">
      <c r="A124" s="28" t="s">
        <v>38</v>
      </c>
      <c r="B124" s="51"/>
      <c r="C124" s="30">
        <f t="shared" ref="C124:N124" si="102">ROUND(C120*$B$6,0)</f>
        <v>0</v>
      </c>
      <c r="D124" s="30">
        <f t="shared" si="102"/>
        <v>0</v>
      </c>
      <c r="E124" s="30">
        <f t="shared" si="102"/>
        <v>0</v>
      </c>
      <c r="F124" s="30">
        <f t="shared" si="102"/>
        <v>0</v>
      </c>
      <c r="G124" s="30">
        <f t="shared" si="102"/>
        <v>0</v>
      </c>
      <c r="H124" s="30">
        <f t="shared" si="102"/>
        <v>0</v>
      </c>
      <c r="I124" s="30">
        <f t="shared" si="102"/>
        <v>0</v>
      </c>
      <c r="J124" s="30">
        <f t="shared" si="102"/>
        <v>0</v>
      </c>
      <c r="K124" s="30">
        <f t="shared" si="102"/>
        <v>0</v>
      </c>
      <c r="L124" s="30">
        <f t="shared" si="102"/>
        <v>0</v>
      </c>
      <c r="M124" s="30">
        <f t="shared" si="102"/>
        <v>0</v>
      </c>
      <c r="N124" s="30">
        <f t="shared" si="102"/>
        <v>0</v>
      </c>
      <c r="O124" s="16"/>
      <c r="P124" s="16"/>
      <c r="Q124" s="16"/>
      <c r="R124" s="16"/>
      <c r="S124" s="16"/>
      <c r="T124" s="16"/>
      <c r="U124" s="16"/>
    </row>
    <row r="125" spans="1:21" outlineLevel="1" x14ac:dyDescent="0.25">
      <c r="A125" s="44" t="s">
        <v>44</v>
      </c>
      <c r="B125" s="58"/>
      <c r="C125" s="45">
        <f>-N92*($B$13/12)</f>
        <v>0</v>
      </c>
      <c r="D125" s="45">
        <f t="shared" ref="D125:N125" si="103">-C126*($B$13/12)</f>
        <v>0</v>
      </c>
      <c r="E125" s="45">
        <f t="shared" si="103"/>
        <v>0</v>
      </c>
      <c r="F125" s="45">
        <f t="shared" si="103"/>
        <v>0</v>
      </c>
      <c r="G125" s="45">
        <f t="shared" si="103"/>
        <v>0</v>
      </c>
      <c r="H125" s="45">
        <f t="shared" si="103"/>
        <v>0</v>
      </c>
      <c r="I125" s="45">
        <f t="shared" si="103"/>
        <v>0</v>
      </c>
      <c r="J125" s="45">
        <f t="shared" si="103"/>
        <v>0</v>
      </c>
      <c r="K125" s="45">
        <f t="shared" si="103"/>
        <v>0</v>
      </c>
      <c r="L125" s="45">
        <f t="shared" si="103"/>
        <v>0</v>
      </c>
      <c r="M125" s="45">
        <f t="shared" si="103"/>
        <v>0</v>
      </c>
      <c r="N125" s="45">
        <f t="shared" si="103"/>
        <v>0</v>
      </c>
      <c r="O125" s="16"/>
      <c r="P125" s="16"/>
      <c r="Q125" s="16"/>
      <c r="R125" s="16"/>
      <c r="S125" s="16"/>
      <c r="T125" s="16"/>
      <c r="U125" s="16"/>
    </row>
    <row r="126" spans="1:21" outlineLevel="1" x14ac:dyDescent="0.25">
      <c r="A126" s="28" t="s">
        <v>47</v>
      </c>
      <c r="B126" s="58"/>
      <c r="C126" s="30">
        <f>N92+SUM(C124:C125)</f>
        <v>0</v>
      </c>
      <c r="D126" s="30">
        <f>+C126+SUM(D124:D125)</f>
        <v>0</v>
      </c>
      <c r="E126" s="30">
        <f t="shared" ref="E126:N126" si="104">+D126+SUM(E124:E125)</f>
        <v>0</v>
      </c>
      <c r="F126" s="30">
        <f t="shared" si="104"/>
        <v>0</v>
      </c>
      <c r="G126" s="30">
        <f t="shared" si="104"/>
        <v>0</v>
      </c>
      <c r="H126" s="30">
        <f t="shared" si="104"/>
        <v>0</v>
      </c>
      <c r="I126" s="30">
        <f t="shared" si="104"/>
        <v>0</v>
      </c>
      <c r="J126" s="30">
        <f t="shared" si="104"/>
        <v>0</v>
      </c>
      <c r="K126" s="30">
        <f t="shared" si="104"/>
        <v>0</v>
      </c>
      <c r="L126" s="30">
        <f t="shared" si="104"/>
        <v>0</v>
      </c>
      <c r="M126" s="30">
        <f t="shared" si="104"/>
        <v>0</v>
      </c>
      <c r="N126" s="30">
        <f t="shared" si="104"/>
        <v>0</v>
      </c>
      <c r="O126" s="16"/>
      <c r="P126" s="16"/>
      <c r="Q126" s="16"/>
      <c r="R126" s="16"/>
      <c r="S126" s="16"/>
      <c r="T126" s="16"/>
      <c r="U126" s="16"/>
    </row>
    <row r="127" spans="1:21" x14ac:dyDescent="0.25">
      <c r="A127" s="32" t="s">
        <v>42</v>
      </c>
      <c r="B127" s="51"/>
      <c r="C127" s="67">
        <f>C126+C123</f>
        <v>0</v>
      </c>
      <c r="D127" s="67">
        <f t="shared" ref="D127:N127" si="105">D126+D123</f>
        <v>0</v>
      </c>
      <c r="E127" s="67">
        <f t="shared" si="105"/>
        <v>0</v>
      </c>
      <c r="F127" s="67">
        <f t="shared" si="105"/>
        <v>0</v>
      </c>
      <c r="G127" s="67">
        <f t="shared" si="105"/>
        <v>0</v>
      </c>
      <c r="H127" s="67">
        <f t="shared" si="105"/>
        <v>0</v>
      </c>
      <c r="I127" s="67">
        <f t="shared" si="105"/>
        <v>0</v>
      </c>
      <c r="J127" s="67">
        <f t="shared" si="105"/>
        <v>0</v>
      </c>
      <c r="K127" s="67">
        <f t="shared" si="105"/>
        <v>0</v>
      </c>
      <c r="L127" s="67">
        <f t="shared" si="105"/>
        <v>0</v>
      </c>
      <c r="M127" s="67">
        <f t="shared" si="105"/>
        <v>0</v>
      </c>
      <c r="N127" s="67">
        <f t="shared" si="105"/>
        <v>0</v>
      </c>
      <c r="O127" s="16"/>
      <c r="P127" s="16"/>
      <c r="Q127" s="16"/>
      <c r="R127" s="16"/>
      <c r="S127" s="16"/>
      <c r="T127" s="16"/>
      <c r="U127" s="16"/>
    </row>
    <row r="128" spans="1:21" x14ac:dyDescent="0.25">
      <c r="A128" s="28" t="s">
        <v>11</v>
      </c>
      <c r="B128" s="51"/>
      <c r="C128" s="72">
        <f t="shared" ref="C128:N128" si="106">C123*$B$10</f>
        <v>0</v>
      </c>
      <c r="D128" s="72">
        <f t="shared" si="106"/>
        <v>0</v>
      </c>
      <c r="E128" s="72">
        <f t="shared" si="106"/>
        <v>0</v>
      </c>
      <c r="F128" s="72">
        <f t="shared" si="106"/>
        <v>0</v>
      </c>
      <c r="G128" s="72">
        <f t="shared" si="106"/>
        <v>0</v>
      </c>
      <c r="H128" s="72">
        <f t="shared" si="106"/>
        <v>0</v>
      </c>
      <c r="I128" s="72">
        <f t="shared" si="106"/>
        <v>0</v>
      </c>
      <c r="J128" s="72">
        <f t="shared" si="106"/>
        <v>0</v>
      </c>
      <c r="K128" s="72">
        <f t="shared" si="106"/>
        <v>0</v>
      </c>
      <c r="L128" s="72">
        <f t="shared" si="106"/>
        <v>0</v>
      </c>
      <c r="M128" s="72">
        <f t="shared" si="106"/>
        <v>0</v>
      </c>
      <c r="N128" s="72">
        <f t="shared" si="106"/>
        <v>0</v>
      </c>
      <c r="O128" s="16"/>
      <c r="P128" s="16"/>
      <c r="Q128" s="16"/>
      <c r="R128" s="16"/>
      <c r="S128" s="16"/>
      <c r="T128" s="16"/>
      <c r="U128" s="16"/>
    </row>
    <row r="129" spans="1:21" x14ac:dyDescent="0.25">
      <c r="A129" s="28" t="s">
        <v>9</v>
      </c>
      <c r="B129" s="51"/>
      <c r="C129" s="72">
        <f t="shared" ref="C129:N129" si="107">(C126*$B$11)</f>
        <v>0</v>
      </c>
      <c r="D129" s="72">
        <f t="shared" si="107"/>
        <v>0</v>
      </c>
      <c r="E129" s="72">
        <f t="shared" si="107"/>
        <v>0</v>
      </c>
      <c r="F129" s="72">
        <f t="shared" si="107"/>
        <v>0</v>
      </c>
      <c r="G129" s="72">
        <f t="shared" si="107"/>
        <v>0</v>
      </c>
      <c r="H129" s="72">
        <f t="shared" si="107"/>
        <v>0</v>
      </c>
      <c r="I129" s="72">
        <f t="shared" si="107"/>
        <v>0</v>
      </c>
      <c r="J129" s="72">
        <f t="shared" si="107"/>
        <v>0</v>
      </c>
      <c r="K129" s="72">
        <f t="shared" si="107"/>
        <v>0</v>
      </c>
      <c r="L129" s="72">
        <f t="shared" si="107"/>
        <v>0</v>
      </c>
      <c r="M129" s="72">
        <f t="shared" si="107"/>
        <v>0</v>
      </c>
      <c r="N129" s="72">
        <f t="shared" si="107"/>
        <v>0</v>
      </c>
      <c r="O129" s="16"/>
      <c r="P129" s="16"/>
      <c r="Q129" s="16"/>
      <c r="R129" s="16"/>
      <c r="S129" s="16"/>
      <c r="T129" s="16"/>
      <c r="U129" s="16"/>
    </row>
    <row r="130" spans="1:21" x14ac:dyDescent="0.25">
      <c r="A130" s="28" t="s">
        <v>10</v>
      </c>
      <c r="B130" s="51"/>
      <c r="C130" s="72">
        <f>SUM(C128:C129)</f>
        <v>0</v>
      </c>
      <c r="D130" s="72">
        <f>SUM(D128:D129)</f>
        <v>0</v>
      </c>
      <c r="E130" s="72">
        <f t="shared" ref="E130:N130" si="108">SUM(E128:E129)</f>
        <v>0</v>
      </c>
      <c r="F130" s="72">
        <f t="shared" si="108"/>
        <v>0</v>
      </c>
      <c r="G130" s="72">
        <f t="shared" si="108"/>
        <v>0</v>
      </c>
      <c r="H130" s="72">
        <f t="shared" si="108"/>
        <v>0</v>
      </c>
      <c r="I130" s="72">
        <f t="shared" si="108"/>
        <v>0</v>
      </c>
      <c r="J130" s="72">
        <f t="shared" si="108"/>
        <v>0</v>
      </c>
      <c r="K130" s="72">
        <f t="shared" si="108"/>
        <v>0</v>
      </c>
      <c r="L130" s="72">
        <f t="shared" si="108"/>
        <v>0</v>
      </c>
      <c r="M130" s="72">
        <f t="shared" si="108"/>
        <v>0</v>
      </c>
      <c r="N130" s="72">
        <f t="shared" si="108"/>
        <v>0</v>
      </c>
      <c r="O130" s="16"/>
      <c r="P130" s="16"/>
      <c r="Q130" s="16"/>
      <c r="R130" s="16"/>
      <c r="S130" s="16"/>
      <c r="T130" s="16"/>
      <c r="U130" s="16"/>
    </row>
    <row r="131" spans="1:21" x14ac:dyDescent="0.25">
      <c r="A131" s="28" t="s">
        <v>51</v>
      </c>
      <c r="B131" s="51"/>
      <c r="C131" s="72">
        <f t="shared" ref="C131:N131" si="109">(+C127*$B$18)+(C127*$B$19)+(C127*$B$20)</f>
        <v>0</v>
      </c>
      <c r="D131" s="72">
        <f t="shared" si="109"/>
        <v>0</v>
      </c>
      <c r="E131" s="72">
        <f t="shared" si="109"/>
        <v>0</v>
      </c>
      <c r="F131" s="72">
        <f t="shared" si="109"/>
        <v>0</v>
      </c>
      <c r="G131" s="72">
        <f t="shared" si="109"/>
        <v>0</v>
      </c>
      <c r="H131" s="72">
        <f t="shared" si="109"/>
        <v>0</v>
      </c>
      <c r="I131" s="72">
        <f t="shared" si="109"/>
        <v>0</v>
      </c>
      <c r="J131" s="72">
        <f t="shared" si="109"/>
        <v>0</v>
      </c>
      <c r="K131" s="72">
        <f t="shared" si="109"/>
        <v>0</v>
      </c>
      <c r="L131" s="72">
        <f t="shared" si="109"/>
        <v>0</v>
      </c>
      <c r="M131" s="72">
        <f t="shared" si="109"/>
        <v>0</v>
      </c>
      <c r="N131" s="72">
        <f t="shared" si="109"/>
        <v>0</v>
      </c>
      <c r="O131" s="16"/>
      <c r="P131" s="16"/>
      <c r="Q131" s="16"/>
      <c r="R131" s="16"/>
      <c r="S131" s="16"/>
      <c r="T131" s="16"/>
      <c r="U131" s="16"/>
    </row>
    <row r="132" spans="1:21" x14ac:dyDescent="0.25">
      <c r="A132" s="28" t="s">
        <v>133</v>
      </c>
      <c r="B132" s="51"/>
      <c r="C132" s="73">
        <f>C127*$B$17</f>
        <v>0</v>
      </c>
      <c r="D132" s="73">
        <f t="shared" ref="D132:N132" si="110">D127*$B$17</f>
        <v>0</v>
      </c>
      <c r="E132" s="73">
        <f t="shared" si="110"/>
        <v>0</v>
      </c>
      <c r="F132" s="73">
        <f t="shared" si="110"/>
        <v>0</v>
      </c>
      <c r="G132" s="73">
        <f t="shared" si="110"/>
        <v>0</v>
      </c>
      <c r="H132" s="73">
        <f t="shared" si="110"/>
        <v>0</v>
      </c>
      <c r="I132" s="73">
        <f t="shared" si="110"/>
        <v>0</v>
      </c>
      <c r="J132" s="73">
        <f t="shared" si="110"/>
        <v>0</v>
      </c>
      <c r="K132" s="73">
        <f t="shared" si="110"/>
        <v>0</v>
      </c>
      <c r="L132" s="73">
        <f t="shared" si="110"/>
        <v>0</v>
      </c>
      <c r="M132" s="73">
        <f t="shared" si="110"/>
        <v>0</v>
      </c>
      <c r="N132" s="73">
        <f t="shared" si="110"/>
        <v>0</v>
      </c>
      <c r="O132" s="16"/>
      <c r="P132" s="16"/>
      <c r="Q132" s="16"/>
      <c r="R132" s="16"/>
      <c r="S132" s="16"/>
      <c r="T132" s="16"/>
      <c r="U132" s="16"/>
    </row>
    <row r="133" spans="1:21" x14ac:dyDescent="0.25">
      <c r="A133" s="28" t="s">
        <v>36</v>
      </c>
      <c r="B133" s="57"/>
      <c r="C133" s="31">
        <f t="shared" ref="C133:N133" si="111">C120*$B$9</f>
        <v>0</v>
      </c>
      <c r="D133" s="31">
        <f t="shared" si="111"/>
        <v>0</v>
      </c>
      <c r="E133" s="31">
        <f t="shared" si="111"/>
        <v>0</v>
      </c>
      <c r="F133" s="31">
        <f t="shared" si="111"/>
        <v>0</v>
      </c>
      <c r="G133" s="31">
        <f t="shared" si="111"/>
        <v>0</v>
      </c>
      <c r="H133" s="31">
        <f t="shared" si="111"/>
        <v>0</v>
      </c>
      <c r="I133" s="31">
        <f t="shared" si="111"/>
        <v>0</v>
      </c>
      <c r="J133" s="31">
        <f t="shared" si="111"/>
        <v>0</v>
      </c>
      <c r="K133" s="31">
        <f t="shared" si="111"/>
        <v>0</v>
      </c>
      <c r="L133" s="31">
        <f t="shared" si="111"/>
        <v>0</v>
      </c>
      <c r="M133" s="31">
        <f t="shared" si="111"/>
        <v>0</v>
      </c>
      <c r="N133" s="31">
        <f t="shared" si="111"/>
        <v>0</v>
      </c>
      <c r="O133" s="16"/>
      <c r="P133" s="16"/>
      <c r="Q133" s="16"/>
      <c r="R133" s="16"/>
      <c r="S133" s="16"/>
      <c r="T133" s="16"/>
      <c r="U133" s="16"/>
    </row>
    <row r="134" spans="1:21" ht="15.6" x14ac:dyDescent="0.3">
      <c r="A134" s="32" t="s">
        <v>2</v>
      </c>
      <c r="B134" s="51"/>
      <c r="C134" s="33">
        <f>SUM(C130:C133)</f>
        <v>0</v>
      </c>
      <c r="D134" s="33">
        <f>SUM(D130:D133)</f>
        <v>0</v>
      </c>
      <c r="E134" s="33">
        <f t="shared" ref="E134:N134" si="112">SUM(E130:E133)</f>
        <v>0</v>
      </c>
      <c r="F134" s="33">
        <f t="shared" si="112"/>
        <v>0</v>
      </c>
      <c r="G134" s="33">
        <f t="shared" si="112"/>
        <v>0</v>
      </c>
      <c r="H134" s="33">
        <f t="shared" si="112"/>
        <v>0</v>
      </c>
      <c r="I134" s="33">
        <f t="shared" si="112"/>
        <v>0</v>
      </c>
      <c r="J134" s="33">
        <f t="shared" si="112"/>
        <v>0</v>
      </c>
      <c r="K134" s="33">
        <f t="shared" si="112"/>
        <v>0</v>
      </c>
      <c r="L134" s="33">
        <f>SUM(L130:L133)</f>
        <v>0</v>
      </c>
      <c r="M134" s="33">
        <f t="shared" si="112"/>
        <v>0</v>
      </c>
      <c r="N134" s="33">
        <f t="shared" si="112"/>
        <v>0</v>
      </c>
      <c r="O134" s="16"/>
      <c r="P134" s="16"/>
      <c r="Q134" s="16"/>
      <c r="R134" s="16"/>
      <c r="S134" s="16"/>
      <c r="T134" s="16"/>
      <c r="U134" s="16"/>
    </row>
    <row r="135" spans="1:21" x14ac:dyDescent="0.25">
      <c r="A135" s="28" t="s">
        <v>134</v>
      </c>
      <c r="B135" s="51"/>
      <c r="C135" s="72">
        <f>(C130*0.05)+((C133+C132)*0.015)</f>
        <v>0</v>
      </c>
      <c r="D135" s="72">
        <f t="shared" ref="D135:N135" si="113">(D130*0.05)+((D133+D132)*0.015)</f>
        <v>0</v>
      </c>
      <c r="E135" s="72">
        <f t="shared" si="113"/>
        <v>0</v>
      </c>
      <c r="F135" s="72">
        <f t="shared" si="113"/>
        <v>0</v>
      </c>
      <c r="G135" s="72">
        <f t="shared" si="113"/>
        <v>0</v>
      </c>
      <c r="H135" s="72">
        <f t="shared" si="113"/>
        <v>0</v>
      </c>
      <c r="I135" s="72">
        <f t="shared" si="113"/>
        <v>0</v>
      </c>
      <c r="J135" s="72">
        <f t="shared" si="113"/>
        <v>0</v>
      </c>
      <c r="K135" s="72">
        <f t="shared" si="113"/>
        <v>0</v>
      </c>
      <c r="L135" s="72">
        <f t="shared" si="113"/>
        <v>0</v>
      </c>
      <c r="M135" s="72">
        <f t="shared" si="113"/>
        <v>0</v>
      </c>
      <c r="N135" s="72">
        <f t="shared" si="113"/>
        <v>0</v>
      </c>
      <c r="O135" s="16"/>
      <c r="P135" s="16"/>
      <c r="Q135" s="16"/>
      <c r="R135" s="16"/>
      <c r="S135" s="16"/>
      <c r="T135" s="16"/>
      <c r="U135" s="16"/>
    </row>
    <row r="136" spans="1:21" x14ac:dyDescent="0.25">
      <c r="A136" s="28" t="s">
        <v>135</v>
      </c>
      <c r="B136" s="51"/>
      <c r="C136" s="72">
        <f t="shared" ref="C136:N136" si="114">C120*$B$25</f>
        <v>0</v>
      </c>
      <c r="D136" s="72">
        <f t="shared" si="114"/>
        <v>0</v>
      </c>
      <c r="E136" s="72">
        <f t="shared" si="114"/>
        <v>0</v>
      </c>
      <c r="F136" s="72">
        <f t="shared" si="114"/>
        <v>0</v>
      </c>
      <c r="G136" s="72">
        <f t="shared" si="114"/>
        <v>0</v>
      </c>
      <c r="H136" s="72">
        <f t="shared" si="114"/>
        <v>0</v>
      </c>
      <c r="I136" s="72">
        <f t="shared" si="114"/>
        <v>0</v>
      </c>
      <c r="J136" s="72">
        <f t="shared" si="114"/>
        <v>0</v>
      </c>
      <c r="K136" s="72">
        <f t="shared" si="114"/>
        <v>0</v>
      </c>
      <c r="L136" s="72">
        <f t="shared" si="114"/>
        <v>0</v>
      </c>
      <c r="M136" s="72">
        <f t="shared" si="114"/>
        <v>0</v>
      </c>
      <c r="N136" s="72">
        <f t="shared" si="114"/>
        <v>0</v>
      </c>
      <c r="O136" s="16"/>
      <c r="P136" s="16"/>
      <c r="Q136" s="16"/>
      <c r="R136" s="16"/>
      <c r="S136" s="16"/>
      <c r="T136" s="16"/>
      <c r="U136" s="16"/>
    </row>
    <row r="137" spans="1:21" x14ac:dyDescent="0.25">
      <c r="A137" s="28" t="s">
        <v>52</v>
      </c>
      <c r="B137" s="53"/>
      <c r="C137" s="72">
        <f t="shared" ref="C137:N137" si="115">($B$18*C127)*$B$23</f>
        <v>0</v>
      </c>
      <c r="D137" s="72">
        <f t="shared" si="115"/>
        <v>0</v>
      </c>
      <c r="E137" s="72">
        <f t="shared" si="115"/>
        <v>0</v>
      </c>
      <c r="F137" s="72">
        <f t="shared" si="115"/>
        <v>0</v>
      </c>
      <c r="G137" s="72">
        <f t="shared" si="115"/>
        <v>0</v>
      </c>
      <c r="H137" s="72">
        <f t="shared" si="115"/>
        <v>0</v>
      </c>
      <c r="I137" s="72">
        <f t="shared" si="115"/>
        <v>0</v>
      </c>
      <c r="J137" s="72">
        <f t="shared" si="115"/>
        <v>0</v>
      </c>
      <c r="K137" s="72">
        <f t="shared" si="115"/>
        <v>0</v>
      </c>
      <c r="L137" s="72">
        <f t="shared" si="115"/>
        <v>0</v>
      </c>
      <c r="M137" s="72">
        <f t="shared" si="115"/>
        <v>0</v>
      </c>
      <c r="N137" s="72">
        <f t="shared" si="115"/>
        <v>0</v>
      </c>
      <c r="O137" s="16"/>
      <c r="P137" s="16"/>
      <c r="Q137" s="16"/>
      <c r="R137" s="16"/>
      <c r="S137" s="16"/>
      <c r="T137" s="16"/>
      <c r="U137" s="16"/>
    </row>
    <row r="138" spans="1:21" x14ac:dyDescent="0.25">
      <c r="A138" s="49" t="s">
        <v>84</v>
      </c>
      <c r="B138" s="53"/>
      <c r="C138" s="72">
        <f t="shared" ref="C138:N138" si="116">C132*$B$24</f>
        <v>0</v>
      </c>
      <c r="D138" s="72">
        <f t="shared" si="116"/>
        <v>0</v>
      </c>
      <c r="E138" s="72">
        <f t="shared" si="116"/>
        <v>0</v>
      </c>
      <c r="F138" s="72">
        <f t="shared" si="116"/>
        <v>0</v>
      </c>
      <c r="G138" s="72">
        <f t="shared" si="116"/>
        <v>0</v>
      </c>
      <c r="H138" s="72">
        <f t="shared" si="116"/>
        <v>0</v>
      </c>
      <c r="I138" s="72">
        <f t="shared" si="116"/>
        <v>0</v>
      </c>
      <c r="J138" s="72">
        <f t="shared" si="116"/>
        <v>0</v>
      </c>
      <c r="K138" s="72">
        <f t="shared" si="116"/>
        <v>0</v>
      </c>
      <c r="L138" s="72">
        <f t="shared" si="116"/>
        <v>0</v>
      </c>
      <c r="M138" s="72">
        <f t="shared" si="116"/>
        <v>0</v>
      </c>
      <c r="N138" s="72">
        <f t="shared" si="116"/>
        <v>0</v>
      </c>
      <c r="O138" s="16"/>
      <c r="P138" s="16"/>
      <c r="Q138" s="16"/>
      <c r="R138" s="16"/>
      <c r="S138" s="16"/>
      <c r="T138" s="16"/>
      <c r="U138" s="16"/>
    </row>
    <row r="139" spans="1:21" ht="15.6" x14ac:dyDescent="0.3">
      <c r="A139" s="32" t="s">
        <v>85</v>
      </c>
      <c r="B139" s="53"/>
      <c r="C139" s="34">
        <f>SUM(C135:C138)</f>
        <v>0</v>
      </c>
      <c r="D139" s="34">
        <f t="shared" ref="D139" si="117">SUM(D135:D138)</f>
        <v>0</v>
      </c>
      <c r="E139" s="34">
        <f t="shared" ref="E139" si="118">SUM(E135:E138)</f>
        <v>0</v>
      </c>
      <c r="F139" s="34">
        <f t="shared" ref="F139" si="119">SUM(F135:F138)</f>
        <v>0</v>
      </c>
      <c r="G139" s="34">
        <f t="shared" ref="G139" si="120">SUM(G135:G138)</f>
        <v>0</v>
      </c>
      <c r="H139" s="34">
        <f t="shared" ref="H139" si="121">SUM(H135:H138)</f>
        <v>0</v>
      </c>
      <c r="I139" s="34">
        <f t="shared" ref="I139" si="122">SUM(I135:I138)</f>
        <v>0</v>
      </c>
      <c r="J139" s="34">
        <f t="shared" ref="J139" si="123">SUM(J135:J138)</f>
        <v>0</v>
      </c>
      <c r="K139" s="34">
        <f t="shared" ref="K139" si="124">SUM(K135:K138)</f>
        <v>0</v>
      </c>
      <c r="L139" s="34">
        <f t="shared" ref="L139" si="125">SUM(L135:L138)</f>
        <v>0</v>
      </c>
      <c r="M139" s="34">
        <f t="shared" ref="M139" si="126">SUM(M135:M138)</f>
        <v>0</v>
      </c>
      <c r="N139" s="34">
        <f t="shared" ref="N139" si="127">SUM(N135:N138)</f>
        <v>0</v>
      </c>
      <c r="O139" s="16"/>
      <c r="P139" s="16"/>
      <c r="Q139" s="16"/>
      <c r="R139" s="16"/>
      <c r="S139" s="16"/>
      <c r="T139" s="16"/>
      <c r="U139" s="16"/>
    </row>
    <row r="140" spans="1:21" x14ac:dyDescent="0.25">
      <c r="A140" s="28" t="s">
        <v>125</v>
      </c>
      <c r="B140" s="53"/>
      <c r="C140" s="72">
        <f>$B$34</f>
        <v>0</v>
      </c>
      <c r="D140" s="72">
        <f t="shared" ref="D140:N140" si="128">$B$34</f>
        <v>0</v>
      </c>
      <c r="E140" s="72">
        <f t="shared" si="128"/>
        <v>0</v>
      </c>
      <c r="F140" s="72">
        <f t="shared" si="128"/>
        <v>0</v>
      </c>
      <c r="G140" s="72">
        <f t="shared" si="128"/>
        <v>0</v>
      </c>
      <c r="H140" s="72">
        <f t="shared" si="128"/>
        <v>0</v>
      </c>
      <c r="I140" s="72">
        <f t="shared" si="128"/>
        <v>0</v>
      </c>
      <c r="J140" s="72">
        <f t="shared" si="128"/>
        <v>0</v>
      </c>
      <c r="K140" s="72">
        <f t="shared" si="128"/>
        <v>0</v>
      </c>
      <c r="L140" s="72">
        <f t="shared" si="128"/>
        <v>0</v>
      </c>
      <c r="M140" s="72">
        <f t="shared" si="128"/>
        <v>0</v>
      </c>
      <c r="N140" s="72">
        <f t="shared" si="128"/>
        <v>0</v>
      </c>
      <c r="O140" s="16"/>
      <c r="P140" s="16"/>
      <c r="Q140" s="16"/>
      <c r="R140" s="16"/>
      <c r="S140" s="16"/>
      <c r="T140" s="16"/>
      <c r="U140" s="16"/>
    </row>
    <row r="141" spans="1:21" x14ac:dyDescent="0.25">
      <c r="A141" s="28" t="s">
        <v>95</v>
      </c>
      <c r="B141" s="53"/>
      <c r="C141" s="72">
        <f>$B$30+$B$31+$B$32</f>
        <v>0</v>
      </c>
      <c r="D141" s="72">
        <f t="shared" ref="D141:N141" si="129">$B$30+$B$31+$B$32</f>
        <v>0</v>
      </c>
      <c r="E141" s="72">
        <f t="shared" si="129"/>
        <v>0</v>
      </c>
      <c r="F141" s="72">
        <f t="shared" si="129"/>
        <v>0</v>
      </c>
      <c r="G141" s="72">
        <f t="shared" si="129"/>
        <v>0</v>
      </c>
      <c r="H141" s="72">
        <f t="shared" si="129"/>
        <v>0</v>
      </c>
      <c r="I141" s="72">
        <f t="shared" si="129"/>
        <v>0</v>
      </c>
      <c r="J141" s="72">
        <f t="shared" si="129"/>
        <v>0</v>
      </c>
      <c r="K141" s="72">
        <f t="shared" si="129"/>
        <v>0</v>
      </c>
      <c r="L141" s="72">
        <f t="shared" si="129"/>
        <v>0</v>
      </c>
      <c r="M141" s="72">
        <f t="shared" si="129"/>
        <v>0</v>
      </c>
      <c r="N141" s="72">
        <f t="shared" si="129"/>
        <v>0</v>
      </c>
      <c r="O141" s="16"/>
      <c r="P141" s="16"/>
      <c r="Q141" s="16"/>
      <c r="R141" s="16"/>
      <c r="S141" s="16"/>
      <c r="T141" s="16"/>
      <c r="U141" s="16"/>
    </row>
    <row r="142" spans="1:21" x14ac:dyDescent="0.25">
      <c r="A142" s="28" t="s">
        <v>98</v>
      </c>
      <c r="B142" s="53"/>
      <c r="C142" s="72">
        <f>$B$33</f>
        <v>0</v>
      </c>
      <c r="D142" s="72">
        <f t="shared" ref="D142:N142" si="130">$B$33</f>
        <v>0</v>
      </c>
      <c r="E142" s="72">
        <f t="shared" si="130"/>
        <v>0</v>
      </c>
      <c r="F142" s="72">
        <f t="shared" si="130"/>
        <v>0</v>
      </c>
      <c r="G142" s="72">
        <f t="shared" si="130"/>
        <v>0</v>
      </c>
      <c r="H142" s="72">
        <f t="shared" si="130"/>
        <v>0</v>
      </c>
      <c r="I142" s="72">
        <f t="shared" si="130"/>
        <v>0</v>
      </c>
      <c r="J142" s="72">
        <f t="shared" si="130"/>
        <v>0</v>
      </c>
      <c r="K142" s="72">
        <f t="shared" si="130"/>
        <v>0</v>
      </c>
      <c r="L142" s="72">
        <f t="shared" si="130"/>
        <v>0</v>
      </c>
      <c r="M142" s="72">
        <f t="shared" si="130"/>
        <v>0</v>
      </c>
      <c r="N142" s="72">
        <f t="shared" si="130"/>
        <v>0</v>
      </c>
      <c r="O142" s="16"/>
      <c r="P142" s="16"/>
      <c r="Q142" s="16"/>
      <c r="R142" s="16"/>
      <c r="S142" s="16"/>
      <c r="T142" s="16"/>
      <c r="U142" s="16"/>
    </row>
    <row r="143" spans="1:21" x14ac:dyDescent="0.25">
      <c r="A143" s="28" t="s">
        <v>124</v>
      </c>
      <c r="B143" s="53"/>
      <c r="C143" s="72">
        <f>($B$35+$B$36+$B$29)-(IF($B$46&gt;24,$B$29,0))</f>
        <v>0</v>
      </c>
      <c r="D143" s="72">
        <f>($B$35+$B$36+$B$29)-(IF($B$46&gt;25,$B$29,0))</f>
        <v>0</v>
      </c>
      <c r="E143" s="72">
        <f>($B$35+$B$36+$B$29)-(IF($B$46&gt;26,$B$29,0))</f>
        <v>0</v>
      </c>
      <c r="F143" s="72">
        <f>($B$35+$B$36+$B$29)-(IF($B$46&gt;27,$B$29,0))</f>
        <v>0</v>
      </c>
      <c r="G143" s="72">
        <f>($B$35+$B$36+$B$29)-(IF($B$46&gt;28,$B$29,0))</f>
        <v>0</v>
      </c>
      <c r="H143" s="72">
        <f>($B$35+$B$36+$B$29)-(IF($B$46&gt;29,$B$29,0))</f>
        <v>0</v>
      </c>
      <c r="I143" s="72">
        <f>($B$35+$B$36+$B$29)-(IF($B$46&gt;30,$B$29,0))</f>
        <v>0</v>
      </c>
      <c r="J143" s="72">
        <f>($B$35+$B$36+$B$29)-(IF($B$46&gt;31,$B$29,0))</f>
        <v>0</v>
      </c>
      <c r="K143" s="72">
        <f>($B$35+$B$36+$B$29)-(IF($B$46&gt;32,$B$29,0))</f>
        <v>0</v>
      </c>
      <c r="L143" s="72">
        <f>($B$35+$B$36+$B$29)-(IF($B$46&gt;33,$B$29,0))</f>
        <v>0</v>
      </c>
      <c r="M143" s="72">
        <f>($B$35+$B$36+$B$29)-(IF($B$46&gt;34,$B$29,0))</f>
        <v>0</v>
      </c>
      <c r="N143" s="72">
        <f>($B$35+$B$36+$B$29)-(IF($B$46&gt;35,$B$29,0))</f>
        <v>0</v>
      </c>
      <c r="O143" s="16"/>
      <c r="P143" s="16"/>
      <c r="Q143" s="16"/>
      <c r="R143" s="16"/>
      <c r="S143" s="16"/>
      <c r="T143" s="16"/>
      <c r="U143" s="16"/>
    </row>
    <row r="144" spans="1:21" x14ac:dyDescent="0.25">
      <c r="A144" s="28" t="s">
        <v>88</v>
      </c>
      <c r="B144" s="53"/>
      <c r="C144" s="72">
        <f>$B$38+$B$37</f>
        <v>0</v>
      </c>
      <c r="D144" s="72">
        <f t="shared" ref="D144:N144" si="131">$B$38+$B$37</f>
        <v>0</v>
      </c>
      <c r="E144" s="72">
        <f t="shared" si="131"/>
        <v>0</v>
      </c>
      <c r="F144" s="72">
        <f t="shared" si="131"/>
        <v>0</v>
      </c>
      <c r="G144" s="72">
        <f t="shared" si="131"/>
        <v>0</v>
      </c>
      <c r="H144" s="72">
        <f t="shared" si="131"/>
        <v>0</v>
      </c>
      <c r="I144" s="72">
        <f t="shared" si="131"/>
        <v>0</v>
      </c>
      <c r="J144" s="72">
        <f t="shared" si="131"/>
        <v>0</v>
      </c>
      <c r="K144" s="72">
        <f t="shared" si="131"/>
        <v>0</v>
      </c>
      <c r="L144" s="72">
        <f t="shared" si="131"/>
        <v>0</v>
      </c>
      <c r="M144" s="72">
        <f t="shared" si="131"/>
        <v>0</v>
      </c>
      <c r="N144" s="72">
        <f t="shared" si="131"/>
        <v>0</v>
      </c>
      <c r="O144" s="16"/>
      <c r="P144" s="16"/>
      <c r="Q144" s="16"/>
      <c r="R144" s="16"/>
      <c r="S144" s="16"/>
      <c r="T144" s="16"/>
      <c r="U144" s="16"/>
    </row>
    <row r="145" spans="1:21" x14ac:dyDescent="0.25">
      <c r="A145" s="28" t="s">
        <v>89</v>
      </c>
      <c r="B145" s="53"/>
      <c r="C145" s="72">
        <f>$B$39+$B$40+$B$41+$B$42</f>
        <v>0</v>
      </c>
      <c r="D145" s="72">
        <f t="shared" ref="D145:N145" si="132">$B$39+$B$40+$B$41+$B$42</f>
        <v>0</v>
      </c>
      <c r="E145" s="72">
        <f t="shared" si="132"/>
        <v>0</v>
      </c>
      <c r="F145" s="72">
        <f t="shared" si="132"/>
        <v>0</v>
      </c>
      <c r="G145" s="72">
        <f t="shared" si="132"/>
        <v>0</v>
      </c>
      <c r="H145" s="72">
        <f t="shared" si="132"/>
        <v>0</v>
      </c>
      <c r="I145" s="72">
        <f t="shared" si="132"/>
        <v>0</v>
      </c>
      <c r="J145" s="72">
        <f t="shared" si="132"/>
        <v>0</v>
      </c>
      <c r="K145" s="72">
        <f t="shared" si="132"/>
        <v>0</v>
      </c>
      <c r="L145" s="72">
        <f t="shared" si="132"/>
        <v>0</v>
      </c>
      <c r="M145" s="72">
        <f t="shared" si="132"/>
        <v>0</v>
      </c>
      <c r="N145" s="72">
        <f t="shared" si="132"/>
        <v>0</v>
      </c>
      <c r="O145" s="16"/>
      <c r="P145" s="16"/>
      <c r="Q145" s="16"/>
      <c r="R145" s="16"/>
      <c r="S145" s="16"/>
      <c r="T145" s="16"/>
      <c r="U145" s="16"/>
    </row>
    <row r="146" spans="1:21" x14ac:dyDescent="0.25">
      <c r="A146" s="28" t="s">
        <v>33</v>
      </c>
      <c r="B146" s="53"/>
      <c r="C146" s="72">
        <f t="shared" ref="C146:N146" si="133">$B$43*C130</f>
        <v>0</v>
      </c>
      <c r="D146" s="72">
        <f t="shared" si="133"/>
        <v>0</v>
      </c>
      <c r="E146" s="72">
        <f t="shared" si="133"/>
        <v>0</v>
      </c>
      <c r="F146" s="72">
        <f t="shared" si="133"/>
        <v>0</v>
      </c>
      <c r="G146" s="72">
        <f t="shared" si="133"/>
        <v>0</v>
      </c>
      <c r="H146" s="72">
        <f t="shared" si="133"/>
        <v>0</v>
      </c>
      <c r="I146" s="72">
        <f t="shared" si="133"/>
        <v>0</v>
      </c>
      <c r="J146" s="72">
        <f t="shared" si="133"/>
        <v>0</v>
      </c>
      <c r="K146" s="72">
        <f t="shared" si="133"/>
        <v>0</v>
      </c>
      <c r="L146" s="72">
        <f t="shared" si="133"/>
        <v>0</v>
      </c>
      <c r="M146" s="72">
        <f t="shared" si="133"/>
        <v>0</v>
      </c>
      <c r="N146" s="72">
        <f t="shared" si="133"/>
        <v>0</v>
      </c>
      <c r="O146" s="16"/>
      <c r="P146" s="16"/>
      <c r="Q146" s="16"/>
      <c r="R146" s="16"/>
      <c r="S146" s="16"/>
      <c r="T146" s="16"/>
      <c r="U146" s="16"/>
    </row>
    <row r="147" spans="1:21" ht="15.6" x14ac:dyDescent="0.3">
      <c r="A147" s="32" t="s">
        <v>91</v>
      </c>
      <c r="B147" s="53"/>
      <c r="C147" s="34">
        <f>SUM(C140:C146)</f>
        <v>0</v>
      </c>
      <c r="D147" s="34">
        <f t="shared" ref="D147" si="134">SUM(D140:D146)</f>
        <v>0</v>
      </c>
      <c r="E147" s="34">
        <f t="shared" ref="E147" si="135">SUM(E140:E146)</f>
        <v>0</v>
      </c>
      <c r="F147" s="34">
        <f t="shared" ref="F147" si="136">SUM(F140:F146)</f>
        <v>0</v>
      </c>
      <c r="G147" s="34">
        <f t="shared" ref="G147" si="137">SUM(G140:G146)</f>
        <v>0</v>
      </c>
      <c r="H147" s="34">
        <f t="shared" ref="H147" si="138">SUM(H140:H146)</f>
        <v>0</v>
      </c>
      <c r="I147" s="34">
        <f t="shared" ref="I147" si="139">SUM(I140:I146)</f>
        <v>0</v>
      </c>
      <c r="J147" s="34">
        <f t="shared" ref="J147" si="140">SUM(J140:J146)</f>
        <v>0</v>
      </c>
      <c r="K147" s="34">
        <f t="shared" ref="K147" si="141">SUM(K140:K146)</f>
        <v>0</v>
      </c>
      <c r="L147" s="34">
        <f t="shared" ref="L147" si="142">SUM(L140:L146)</f>
        <v>0</v>
      </c>
      <c r="M147" s="34">
        <f t="shared" ref="M147" si="143">SUM(M140:M146)</f>
        <v>0</v>
      </c>
      <c r="N147" s="34">
        <f t="shared" ref="N147" si="144">SUM(N140:N146)</f>
        <v>0</v>
      </c>
      <c r="O147" s="16"/>
      <c r="P147" s="16"/>
      <c r="Q147" s="16"/>
      <c r="R147" s="16"/>
      <c r="S147" s="16"/>
      <c r="T147" s="16"/>
      <c r="U147" s="16"/>
    </row>
    <row r="148" spans="1:21" ht="15.6" x14ac:dyDescent="0.3">
      <c r="A148" s="32" t="s">
        <v>131</v>
      </c>
      <c r="B148" s="53"/>
      <c r="C148" s="34">
        <f>C139+C147</f>
        <v>0</v>
      </c>
      <c r="D148" s="34">
        <f t="shared" ref="D148:N148" si="145">D139+D147</f>
        <v>0</v>
      </c>
      <c r="E148" s="34">
        <f t="shared" si="145"/>
        <v>0</v>
      </c>
      <c r="F148" s="34">
        <f t="shared" si="145"/>
        <v>0</v>
      </c>
      <c r="G148" s="34">
        <f t="shared" si="145"/>
        <v>0</v>
      </c>
      <c r="H148" s="34">
        <f t="shared" si="145"/>
        <v>0</v>
      </c>
      <c r="I148" s="34">
        <f t="shared" si="145"/>
        <v>0</v>
      </c>
      <c r="J148" s="34">
        <f t="shared" si="145"/>
        <v>0</v>
      </c>
      <c r="K148" s="34">
        <f t="shared" si="145"/>
        <v>0</v>
      </c>
      <c r="L148" s="34">
        <f t="shared" si="145"/>
        <v>0</v>
      </c>
      <c r="M148" s="34">
        <f t="shared" si="145"/>
        <v>0</v>
      </c>
      <c r="N148" s="34">
        <f t="shared" si="145"/>
        <v>0</v>
      </c>
      <c r="O148" s="16"/>
      <c r="P148" s="16"/>
      <c r="Q148" s="16"/>
      <c r="R148" s="16"/>
      <c r="S148" s="16"/>
      <c r="T148" s="16"/>
      <c r="U148" s="16"/>
    </row>
    <row r="149" spans="1:21" x14ac:dyDescent="0.25">
      <c r="A149" s="32" t="s">
        <v>83</v>
      </c>
      <c r="B149" s="53"/>
      <c r="C149" s="70">
        <f>C134-C148</f>
        <v>0</v>
      </c>
      <c r="D149" s="70">
        <f t="shared" ref="D149:N149" si="146">D134-D148</f>
        <v>0</v>
      </c>
      <c r="E149" s="70">
        <f t="shared" si="146"/>
        <v>0</v>
      </c>
      <c r="F149" s="70">
        <f t="shared" si="146"/>
        <v>0</v>
      </c>
      <c r="G149" s="70">
        <f t="shared" si="146"/>
        <v>0</v>
      </c>
      <c r="H149" s="70">
        <f t="shared" si="146"/>
        <v>0</v>
      </c>
      <c r="I149" s="70">
        <f t="shared" si="146"/>
        <v>0</v>
      </c>
      <c r="J149" s="70">
        <f t="shared" si="146"/>
        <v>0</v>
      </c>
      <c r="K149" s="70">
        <f t="shared" si="146"/>
        <v>0</v>
      </c>
      <c r="L149" s="70">
        <f t="shared" si="146"/>
        <v>0</v>
      </c>
      <c r="M149" s="70">
        <f t="shared" si="146"/>
        <v>0</v>
      </c>
      <c r="N149" s="70">
        <f t="shared" si="146"/>
        <v>0</v>
      </c>
      <c r="O149" s="16"/>
      <c r="P149" s="16"/>
      <c r="Q149" s="16"/>
      <c r="R149" s="16"/>
      <c r="S149" s="16"/>
      <c r="T149" s="16"/>
      <c r="U149" s="16"/>
    </row>
    <row r="150" spans="1:21" ht="14.4" thickBot="1" x14ac:dyDescent="0.3">
      <c r="A150" s="35" t="s">
        <v>0</v>
      </c>
      <c r="B150" s="54"/>
      <c r="C150" s="71">
        <f>C149+B150</f>
        <v>0</v>
      </c>
      <c r="D150" s="71">
        <f>D149+C150</f>
        <v>0</v>
      </c>
      <c r="E150" s="71">
        <f t="shared" ref="E150" si="147">E149+D150</f>
        <v>0</v>
      </c>
      <c r="F150" s="71">
        <f t="shared" ref="F150" si="148">F149+E150</f>
        <v>0</v>
      </c>
      <c r="G150" s="71">
        <f t="shared" ref="G150" si="149">G149+F150</f>
        <v>0</v>
      </c>
      <c r="H150" s="71">
        <f t="shared" ref="H150" si="150">H149+G150</f>
        <v>0</v>
      </c>
      <c r="I150" s="71">
        <f t="shared" ref="I150" si="151">I149+H150</f>
        <v>0</v>
      </c>
      <c r="J150" s="71">
        <f t="shared" ref="J150" si="152">J149+I150</f>
        <v>0</v>
      </c>
      <c r="K150" s="71">
        <f t="shared" ref="K150" si="153">K149+J150</f>
        <v>0</v>
      </c>
      <c r="L150" s="71">
        <f t="shared" ref="L150" si="154">L149+K150</f>
        <v>0</v>
      </c>
      <c r="M150" s="71">
        <f t="shared" ref="M150" si="155">M149+L150</f>
        <v>0</v>
      </c>
      <c r="N150" s="71">
        <f t="shared" ref="N150" si="156">N149+M150</f>
        <v>0</v>
      </c>
      <c r="O150" s="16"/>
      <c r="P150" s="16"/>
      <c r="Q150" s="16"/>
      <c r="R150" s="16"/>
      <c r="S150" s="16"/>
      <c r="T150" s="16"/>
      <c r="U150" s="16"/>
    </row>
    <row r="151" spans="1:21" x14ac:dyDescent="0.25">
      <c r="A151" s="17"/>
      <c r="B151" s="15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 spans="1:21" x14ac:dyDescent="0.25">
      <c r="A152" s="17"/>
      <c r="B152" s="15"/>
      <c r="C152" s="16"/>
      <c r="D152" s="16"/>
      <c r="E152" s="16"/>
      <c r="F152" s="16"/>
      <c r="G152" s="16"/>
      <c r="H152" s="16"/>
      <c r="I152" s="18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 spans="1:21" x14ac:dyDescent="0.25">
      <c r="A153" s="10"/>
      <c r="B153" s="7"/>
      <c r="C153" s="2"/>
      <c r="D153" s="2"/>
      <c r="E153" s="2"/>
      <c r="F153" s="2"/>
      <c r="G153" s="2"/>
      <c r="H153" s="2"/>
      <c r="I153" s="18"/>
      <c r="J153" s="2"/>
      <c r="K153" s="2"/>
      <c r="L153" s="18" t="s">
        <v>27</v>
      </c>
      <c r="M153" s="16"/>
      <c r="N153" s="16"/>
      <c r="O153" s="16"/>
      <c r="P153" s="16"/>
      <c r="Q153" s="16"/>
      <c r="R153" s="16"/>
      <c r="S153" s="16"/>
      <c r="T153" s="16"/>
      <c r="U153" s="16"/>
    </row>
    <row r="154" spans="1:21" x14ac:dyDescent="0.25">
      <c r="A154" s="10"/>
      <c r="B154" s="7"/>
      <c r="C154" s="2"/>
      <c r="D154" s="2"/>
      <c r="E154" s="2"/>
      <c r="F154" s="2"/>
      <c r="G154" s="2"/>
      <c r="H154" s="2"/>
      <c r="I154" s="18"/>
      <c r="J154" s="2"/>
      <c r="K154" s="2"/>
      <c r="L154" s="18" t="s">
        <v>48</v>
      </c>
      <c r="M154" s="2"/>
      <c r="N154" s="2"/>
      <c r="O154" s="16"/>
      <c r="P154" s="18"/>
      <c r="Q154" s="18"/>
      <c r="R154" s="16"/>
      <c r="S154" s="16"/>
      <c r="T154" s="16"/>
      <c r="U154" s="16"/>
    </row>
    <row r="155" spans="1:21" x14ac:dyDescent="0.25">
      <c r="A155" s="10"/>
      <c r="B155" s="7"/>
      <c r="C155" s="2"/>
      <c r="D155" s="2"/>
      <c r="E155" s="2"/>
      <c r="F155" s="2"/>
      <c r="G155" s="2"/>
      <c r="H155" s="2"/>
      <c r="I155" s="18"/>
      <c r="J155" s="2"/>
      <c r="K155" s="2"/>
      <c r="L155" s="18" t="s">
        <v>49</v>
      </c>
      <c r="M155" s="2"/>
      <c r="N155" s="2"/>
      <c r="O155" s="16"/>
      <c r="P155" s="18"/>
      <c r="Q155" s="18"/>
      <c r="R155" s="16"/>
      <c r="S155" s="16"/>
      <c r="T155" s="16"/>
      <c r="U155" s="16"/>
    </row>
    <row r="156" spans="1:21" x14ac:dyDescent="0.25">
      <c r="A156" s="10"/>
      <c r="B156" s="7"/>
      <c r="C156" s="2"/>
      <c r="D156" s="2"/>
      <c r="E156" s="2"/>
      <c r="F156" s="2"/>
      <c r="G156" s="2"/>
      <c r="H156" s="2"/>
      <c r="I156" s="18"/>
      <c r="J156" s="2"/>
      <c r="K156" s="2"/>
      <c r="L156" s="18" t="s">
        <v>28</v>
      </c>
      <c r="M156" s="2"/>
      <c r="N156" s="2"/>
      <c r="O156" s="16"/>
      <c r="P156" s="18"/>
      <c r="Q156" s="18"/>
      <c r="R156" s="16"/>
      <c r="S156" s="16"/>
      <c r="T156" s="16"/>
      <c r="U156" s="16"/>
    </row>
    <row r="157" spans="1:21" x14ac:dyDescent="0.25">
      <c r="A157" s="10"/>
      <c r="B157" s="7"/>
      <c r="C157" s="2"/>
      <c r="D157" s="2"/>
      <c r="E157" s="2"/>
      <c r="F157" s="2"/>
      <c r="G157" s="2"/>
      <c r="H157" s="2"/>
      <c r="I157" s="18"/>
      <c r="J157" s="2"/>
      <c r="K157" s="2"/>
      <c r="L157" s="18" t="s">
        <v>29</v>
      </c>
      <c r="M157" s="2"/>
      <c r="N157" s="2"/>
      <c r="O157" s="16"/>
      <c r="P157" s="18"/>
      <c r="Q157" s="18"/>
      <c r="R157" s="16"/>
      <c r="S157" s="16"/>
      <c r="T157" s="16"/>
      <c r="U157" s="16"/>
    </row>
    <row r="158" spans="1:21" x14ac:dyDescent="0.25">
      <c r="A158" s="10"/>
      <c r="B158" s="7"/>
      <c r="C158" s="2"/>
      <c r="D158" s="2"/>
      <c r="E158" s="2"/>
      <c r="F158" s="2"/>
      <c r="G158" s="2"/>
      <c r="H158" s="2"/>
      <c r="I158" s="18"/>
      <c r="J158" s="2"/>
      <c r="K158" s="2"/>
      <c r="L158" s="18" t="s">
        <v>30</v>
      </c>
      <c r="M158" s="2"/>
      <c r="N158" s="2"/>
      <c r="O158" s="16"/>
      <c r="P158" s="18"/>
      <c r="Q158" s="18"/>
      <c r="R158" s="16"/>
      <c r="S158" s="16"/>
      <c r="T158" s="16"/>
      <c r="U158" s="16"/>
    </row>
    <row r="159" spans="1:21" x14ac:dyDescent="0.25">
      <c r="A159" s="10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18" t="s">
        <v>31</v>
      </c>
      <c r="M159" s="2"/>
      <c r="N159" s="2"/>
      <c r="O159" s="16"/>
      <c r="P159" s="18"/>
      <c r="Q159" s="18"/>
      <c r="R159" s="16"/>
      <c r="S159" s="16"/>
      <c r="T159" s="16"/>
      <c r="U159" s="16"/>
    </row>
    <row r="160" spans="1:21" x14ac:dyDescent="0.25">
      <c r="A160" s="10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16"/>
      <c r="M160" s="18"/>
      <c r="N160" s="18"/>
      <c r="O160" s="16"/>
      <c r="P160" s="16"/>
      <c r="Q160" s="16"/>
      <c r="R160" s="16"/>
      <c r="S160" s="16"/>
      <c r="T160" s="16"/>
      <c r="U160" s="16"/>
    </row>
    <row r="161" spans="1:21" x14ac:dyDescent="0.25">
      <c r="A161" s="10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6"/>
      <c r="P161" s="16"/>
      <c r="Q161" s="16"/>
      <c r="R161" s="16"/>
      <c r="S161" s="16"/>
      <c r="T161" s="16"/>
      <c r="U161" s="16"/>
    </row>
    <row r="162" spans="1:21" x14ac:dyDescent="0.25">
      <c r="A162" s="10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6"/>
      <c r="P162" s="16"/>
      <c r="Q162" s="16"/>
      <c r="R162" s="16"/>
      <c r="S162" s="16"/>
      <c r="T162" s="16"/>
      <c r="U162" s="16"/>
    </row>
    <row r="163" spans="1:21" x14ac:dyDescent="0.25">
      <c r="A163" s="10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6"/>
      <c r="P163" s="16"/>
      <c r="Q163" s="16"/>
      <c r="R163" s="16"/>
      <c r="S163" s="16"/>
      <c r="T163" s="16"/>
      <c r="U163" s="16"/>
    </row>
    <row r="164" spans="1:21" x14ac:dyDescent="0.25">
      <c r="A164" s="10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6"/>
      <c r="P164" s="16"/>
      <c r="Q164" s="16"/>
      <c r="R164" s="16"/>
      <c r="S164" s="16"/>
      <c r="T164" s="16"/>
      <c r="U164" s="16"/>
    </row>
    <row r="165" spans="1:21" x14ac:dyDescent="0.25">
      <c r="A165" s="10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6"/>
      <c r="P165" s="16"/>
      <c r="Q165" s="16"/>
      <c r="R165" s="16"/>
      <c r="S165" s="16"/>
      <c r="T165" s="16"/>
      <c r="U165" s="16"/>
    </row>
    <row r="166" spans="1:21" x14ac:dyDescent="0.25">
      <c r="A166" s="10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6"/>
      <c r="P166" s="16"/>
      <c r="Q166" s="16"/>
      <c r="R166" s="16"/>
      <c r="S166" s="16"/>
      <c r="T166" s="16"/>
      <c r="U166" s="16"/>
    </row>
    <row r="167" spans="1:21" x14ac:dyDescent="0.25">
      <c r="A167" s="10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6"/>
      <c r="P167" s="16"/>
      <c r="Q167" s="16"/>
      <c r="R167" s="16"/>
      <c r="S167" s="16"/>
      <c r="T167" s="16"/>
      <c r="U167" s="16"/>
    </row>
    <row r="168" spans="1:21" x14ac:dyDescent="0.25">
      <c r="A168" s="10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6"/>
      <c r="P168" s="16"/>
      <c r="Q168" s="16"/>
      <c r="R168" s="16"/>
      <c r="S168" s="16"/>
      <c r="T168" s="16"/>
      <c r="U168" s="16"/>
    </row>
    <row r="169" spans="1:21" x14ac:dyDescent="0.25">
      <c r="A169" s="10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6"/>
      <c r="P169" s="16"/>
      <c r="Q169" s="16"/>
      <c r="R169" s="16"/>
      <c r="S169" s="16"/>
      <c r="T169" s="16"/>
      <c r="U169" s="16"/>
    </row>
    <row r="170" spans="1:21" x14ac:dyDescent="0.25">
      <c r="A170" s="10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6"/>
      <c r="P170" s="16"/>
      <c r="Q170" s="16"/>
      <c r="R170" s="16"/>
      <c r="S170" s="16"/>
      <c r="T170" s="16"/>
      <c r="U170" s="16"/>
    </row>
    <row r="171" spans="1:21" x14ac:dyDescent="0.25">
      <c r="A171" s="10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6"/>
      <c r="P171" s="16"/>
      <c r="Q171" s="16"/>
      <c r="R171" s="16"/>
      <c r="S171" s="16"/>
      <c r="T171" s="16"/>
      <c r="U171" s="16"/>
    </row>
    <row r="172" spans="1:21" x14ac:dyDescent="0.25">
      <c r="A172" s="10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6"/>
      <c r="P172" s="16"/>
      <c r="Q172" s="16"/>
      <c r="R172" s="16"/>
      <c r="S172" s="16"/>
      <c r="T172" s="16"/>
      <c r="U172" s="16"/>
    </row>
    <row r="173" spans="1:21" x14ac:dyDescent="0.25">
      <c r="A173" s="10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6"/>
      <c r="P173" s="16"/>
      <c r="Q173" s="16"/>
      <c r="R173" s="16"/>
      <c r="S173" s="16"/>
      <c r="T173" s="16"/>
      <c r="U173" s="16"/>
    </row>
    <row r="174" spans="1:21" x14ac:dyDescent="0.25">
      <c r="A174" s="10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6"/>
      <c r="P174" s="16"/>
      <c r="Q174" s="16"/>
      <c r="R174" s="16"/>
      <c r="S174" s="16"/>
      <c r="T174" s="16"/>
      <c r="U174" s="16"/>
    </row>
    <row r="175" spans="1:21" x14ac:dyDescent="0.25">
      <c r="A175" s="10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6"/>
      <c r="P175" s="16"/>
      <c r="Q175" s="16"/>
      <c r="R175" s="16"/>
      <c r="S175" s="16"/>
      <c r="T175" s="16"/>
      <c r="U175" s="16"/>
    </row>
    <row r="176" spans="1:21" x14ac:dyDescent="0.25">
      <c r="A176" s="10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6"/>
      <c r="P176" s="16"/>
      <c r="Q176" s="16"/>
      <c r="R176" s="16"/>
      <c r="S176" s="16"/>
      <c r="T176" s="16"/>
      <c r="U176" s="16"/>
    </row>
    <row r="177" spans="1:21" x14ac:dyDescent="0.25">
      <c r="A177" s="10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6"/>
      <c r="P177" s="16"/>
      <c r="Q177" s="16"/>
      <c r="R177" s="16"/>
      <c r="S177" s="16"/>
      <c r="T177" s="16"/>
      <c r="U177" s="16"/>
    </row>
    <row r="178" spans="1:21" x14ac:dyDescent="0.25">
      <c r="A178" s="10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6"/>
      <c r="P178" s="16"/>
      <c r="Q178" s="16"/>
      <c r="R178" s="16"/>
      <c r="S178" s="16"/>
      <c r="T178" s="16"/>
      <c r="U178" s="16"/>
    </row>
    <row r="179" spans="1:21" x14ac:dyDescent="0.25">
      <c r="A179" s="10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6"/>
      <c r="P179" s="16"/>
      <c r="Q179" s="16"/>
      <c r="R179" s="16"/>
      <c r="S179" s="16"/>
      <c r="T179" s="16"/>
      <c r="U179" s="16"/>
    </row>
    <row r="180" spans="1:21" x14ac:dyDescent="0.25">
      <c r="A180" s="10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6"/>
      <c r="P180" s="16"/>
      <c r="Q180" s="16"/>
      <c r="R180" s="16"/>
      <c r="S180" s="16"/>
      <c r="T180" s="16"/>
      <c r="U180" s="16"/>
    </row>
    <row r="181" spans="1:21" x14ac:dyDescent="0.25">
      <c r="A181" s="10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6"/>
      <c r="P181" s="16"/>
      <c r="Q181" s="16"/>
      <c r="R181" s="16"/>
      <c r="S181" s="16"/>
      <c r="T181" s="16"/>
      <c r="U181" s="16"/>
    </row>
    <row r="182" spans="1:21" ht="13.2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ht="13.2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ht="13.2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ht="13.2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ht="13.2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ht="13.2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ht="13.2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207" spans="7:7" x14ac:dyDescent="0.25">
      <c r="G207" s="20"/>
    </row>
  </sheetData>
  <sheetProtection algorithmName="SHA-512" hashValue="V/yAe5wwiBrdXBUnxRuCkC1F1wBk5E/YbD3BHTaLmzMdhoalSvpIl/12FM3DPOyvaeMFU0PhZt7om9Vsb78Ciw==" saltValue="Hp+lrh3XDhSRBQ5URvUHnw==" spinCount="100000" sheet="1" objects="1" scenarios="1"/>
  <mergeCells count="3">
    <mergeCell ref="A49:N49"/>
    <mergeCell ref="A1:N1"/>
    <mergeCell ref="A2:N2"/>
  </mergeCells>
  <phoneticPr fontId="2"/>
  <conditionalFormatting sqref="C82:N83">
    <cfRule type="cellIs" dxfId="11" priority="27" operator="lessThan">
      <formula>0</formula>
    </cfRule>
    <cfRule type="cellIs" dxfId="10" priority="28" operator="greaterThan">
      <formula>0</formula>
    </cfRule>
  </conditionalFormatting>
  <conditionalFormatting sqref="C117:N117">
    <cfRule type="cellIs" dxfId="9" priority="11" operator="lessThan">
      <formula>0</formula>
    </cfRule>
    <cfRule type="cellIs" dxfId="8" priority="12" operator="greaterThan">
      <formula>0</formula>
    </cfRule>
  </conditionalFormatting>
  <conditionalFormatting sqref="C150:N150">
    <cfRule type="cellIs" dxfId="7" priority="9" operator="lessThan">
      <formula>0</formula>
    </cfRule>
    <cfRule type="cellIs" dxfId="6" priority="10" operator="greaterThan">
      <formula>0</formula>
    </cfRule>
  </conditionalFormatting>
  <conditionalFormatting sqref="C116:N116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C149:N149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B82:B83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/>
  <pageMargins left="0.5" right="0.5" top="0.25" bottom="0.25" header="0.25" footer="0.25"/>
  <pageSetup scale="35" orientation="portrait" r:id="rId1"/>
  <headerFooter alignWithMargins="0"/>
  <ignoredErrors>
    <ignoredError sqref="B31:B34 B36:B41" unlockedFormula="1"/>
  </ignoredErrors>
  <drawing r:id="rId2"/>
  <legacyDrawing r:id="rId3"/>
  <oleObjects>
    <mc:AlternateContent xmlns:mc="http://schemas.openxmlformats.org/markup-compatibility/2006">
      <mc:Choice Requires="x14">
        <oleObject progId="Word.Document.8" shapeId="1036" r:id="rId4">
          <objectPr defaultSize="0" autoPict="0" r:id="rId5">
            <anchor moveWithCells="1">
              <from>
                <xdr:col>0</xdr:col>
                <xdr:colOff>251460</xdr:colOff>
                <xdr:row>152</xdr:row>
                <xdr:rowOff>0</xdr:rowOff>
              </from>
              <to>
                <xdr:col>10</xdr:col>
                <xdr:colOff>30480</xdr:colOff>
                <xdr:row>186</xdr:row>
                <xdr:rowOff>121920</xdr:rowOff>
              </to>
            </anchor>
          </objectPr>
        </oleObject>
      </mc:Choice>
      <mc:Fallback>
        <oleObject progId="Word.Document.8" shapeId="103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Macro1</vt:lpstr>
      <vt:lpstr>Input</vt:lpstr>
      <vt:lpstr>AF Projections</vt:lpstr>
      <vt:lpstr>'AF Projections'!Print_Area</vt:lpstr>
      <vt:lpstr>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Tim Smith</cp:lastModifiedBy>
  <cp:lastPrinted>2016-05-09T15:34:29Z</cp:lastPrinted>
  <dcterms:created xsi:type="dcterms:W3CDTF">2012-05-09T22:10:51Z</dcterms:created>
  <dcterms:modified xsi:type="dcterms:W3CDTF">2020-01-09T14:59:26Z</dcterms:modified>
</cp:coreProperties>
</file>