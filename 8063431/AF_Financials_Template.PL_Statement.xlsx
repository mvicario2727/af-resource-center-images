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brands-my.sharepoint.com/personal/martha_tobin_sebrands_com/Documents/Desktop/"/>
    </mc:Choice>
  </mc:AlternateContent>
  <xr:revisionPtr revIDLastSave="1" documentId="8_{971C18FF-E229-47F4-828E-DA596D9D1013}" xr6:coauthVersionLast="45" xr6:coauthVersionMax="45" xr10:uidLastSave="{067CADF4-6E48-4B29-88AE-2AFDBB305EAC}"/>
  <bookViews>
    <workbookView xWindow="28680" yWindow="-120" windowWidth="29040" windowHeight="15840" xr2:uid="{8536AFD6-262A-443A-BD76-45736196E363}"/>
  </bookViews>
  <sheets>
    <sheet name="P&amp;L" sheetId="1" r:id="rId1"/>
  </sheets>
  <definedNames>
    <definedName name="_xlnm.Print_Area" localSheetId="0">'P&amp;L'!$A$1:$O$104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83" i="1" l="1"/>
  <c r="L83" i="1"/>
  <c r="K83" i="1"/>
  <c r="J83" i="1"/>
  <c r="I83" i="1"/>
  <c r="H83" i="1"/>
  <c r="G83" i="1"/>
  <c r="F83" i="1"/>
  <c r="E83" i="1"/>
  <c r="D83" i="1"/>
  <c r="C83" i="1"/>
  <c r="B83" i="1"/>
  <c r="M71" i="1"/>
  <c r="L71" i="1"/>
  <c r="L73" i="1" s="1"/>
  <c r="K71" i="1"/>
  <c r="J71" i="1"/>
  <c r="J73" i="1" s="1"/>
  <c r="I71" i="1"/>
  <c r="I73" i="1" s="1"/>
  <c r="H71" i="1"/>
  <c r="H73" i="1" s="1"/>
  <c r="G71" i="1"/>
  <c r="G73" i="1" s="1"/>
  <c r="F71" i="1"/>
  <c r="E71" i="1"/>
  <c r="D71" i="1"/>
  <c r="D73" i="1" s="1"/>
  <c r="C71" i="1"/>
  <c r="B71" i="1"/>
  <c r="B73" i="1" s="1"/>
  <c r="M53" i="1"/>
  <c r="M73" i="1" s="1"/>
  <c r="L53" i="1"/>
  <c r="K53" i="1"/>
  <c r="K73" i="1" s="1"/>
  <c r="J53" i="1"/>
  <c r="I53" i="1"/>
  <c r="H53" i="1"/>
  <c r="G53" i="1"/>
  <c r="F53" i="1"/>
  <c r="F73" i="1" s="1"/>
  <c r="E53" i="1"/>
  <c r="E73" i="1" s="1"/>
  <c r="D53" i="1"/>
  <c r="C53" i="1"/>
  <c r="C73" i="1" s="1"/>
  <c r="B53" i="1"/>
  <c r="M49" i="1"/>
  <c r="L49" i="1"/>
  <c r="K49" i="1"/>
  <c r="J49" i="1"/>
  <c r="I49" i="1"/>
  <c r="H49" i="1"/>
  <c r="G49" i="1"/>
  <c r="F49" i="1"/>
  <c r="E49" i="1"/>
  <c r="D49" i="1"/>
  <c r="C49" i="1"/>
  <c r="B49" i="1"/>
  <c r="M46" i="1"/>
  <c r="L46" i="1"/>
  <c r="K46" i="1"/>
  <c r="J46" i="1"/>
  <c r="I46" i="1"/>
  <c r="H46" i="1"/>
  <c r="G46" i="1"/>
  <c r="F46" i="1"/>
  <c r="E46" i="1"/>
  <c r="D46" i="1"/>
  <c r="C46" i="1"/>
  <c r="B46" i="1"/>
  <c r="M39" i="1"/>
  <c r="L39" i="1"/>
  <c r="K39" i="1"/>
  <c r="J39" i="1"/>
  <c r="I39" i="1"/>
  <c r="H39" i="1"/>
  <c r="G39" i="1"/>
  <c r="F39" i="1"/>
  <c r="E39" i="1"/>
  <c r="D39" i="1"/>
  <c r="C39" i="1"/>
  <c r="B39" i="1"/>
  <c r="M34" i="1"/>
  <c r="L34" i="1"/>
  <c r="K34" i="1"/>
  <c r="J34" i="1"/>
  <c r="I34" i="1"/>
  <c r="H34" i="1"/>
  <c r="G34" i="1"/>
  <c r="F34" i="1"/>
  <c r="E34" i="1"/>
  <c r="D34" i="1"/>
  <c r="C34" i="1"/>
  <c r="B34" i="1"/>
  <c r="M25" i="1"/>
  <c r="L25" i="1"/>
  <c r="K25" i="1"/>
  <c r="J25" i="1"/>
  <c r="I25" i="1"/>
  <c r="H25" i="1"/>
  <c r="G25" i="1"/>
  <c r="F25" i="1"/>
  <c r="E25" i="1"/>
  <c r="D25" i="1"/>
  <c r="C25" i="1"/>
  <c r="B25" i="1"/>
  <c r="M11" i="1"/>
  <c r="M27" i="1" s="1"/>
  <c r="L11" i="1"/>
  <c r="L27" i="1" s="1"/>
  <c r="K11" i="1"/>
  <c r="K27" i="1" s="1"/>
  <c r="J11" i="1"/>
  <c r="J27" i="1" s="1"/>
  <c r="I11" i="1"/>
  <c r="I27" i="1" s="1"/>
  <c r="H11" i="1"/>
  <c r="H27" i="1" s="1"/>
  <c r="G11" i="1"/>
  <c r="G27" i="1" s="1"/>
  <c r="F11" i="1"/>
  <c r="F27" i="1" s="1"/>
  <c r="E11" i="1"/>
  <c r="E27" i="1" s="1"/>
  <c r="D11" i="1"/>
  <c r="D27" i="1" s="1"/>
  <c r="C11" i="1"/>
  <c r="C27" i="1" s="1"/>
  <c r="B11" i="1"/>
  <c r="B27" i="1" s="1"/>
  <c r="I28" i="1" l="1"/>
  <c r="I75" i="1"/>
  <c r="H75" i="1"/>
  <c r="H28" i="1"/>
  <c r="B75" i="1"/>
  <c r="B28" i="1"/>
  <c r="J75" i="1"/>
  <c r="J28" i="1"/>
  <c r="F75" i="1"/>
  <c r="F28" i="1"/>
  <c r="G75" i="1"/>
  <c r="G28" i="1"/>
  <c r="C75" i="1"/>
  <c r="C28" i="1"/>
  <c r="D75" i="1"/>
  <c r="D28" i="1"/>
  <c r="L75" i="1"/>
  <c r="L28" i="1"/>
  <c r="K75" i="1"/>
  <c r="K28" i="1"/>
  <c r="E75" i="1"/>
  <c r="E28" i="1"/>
  <c r="M28" i="1"/>
  <c r="M75" i="1"/>
  <c r="M85" i="1" l="1"/>
  <c r="M76" i="1"/>
  <c r="D85" i="1"/>
  <c r="D76" i="1"/>
  <c r="E85" i="1"/>
  <c r="E76" i="1"/>
  <c r="C85" i="1"/>
  <c r="C76" i="1"/>
  <c r="B85" i="1"/>
  <c r="B76" i="1"/>
  <c r="J85" i="1"/>
  <c r="J76" i="1"/>
  <c r="K85" i="1"/>
  <c r="K76" i="1"/>
  <c r="G85" i="1"/>
  <c r="G76" i="1"/>
  <c r="H85" i="1"/>
  <c r="H76" i="1"/>
  <c r="I85" i="1"/>
  <c r="I76" i="1"/>
  <c r="L85" i="1"/>
  <c r="L76" i="1"/>
  <c r="F85" i="1"/>
  <c r="F76" i="1"/>
</calcChain>
</file>

<file path=xl/sharedStrings.xml><?xml version="1.0" encoding="utf-8"?>
<sst xmlns="http://schemas.openxmlformats.org/spreadsheetml/2006/main" count="99" uniqueCount="99">
  <si>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</si>
  <si>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</si>
  <si>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</si>
  <si>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</si>
  <si>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</si>
  <si>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</si>
  <si>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</si>
  <si>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</si>
  <si>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</si>
  <si>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</si>
  <si>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</si>
  <si>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</si>
  <si>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</si>
  <si>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Dues - Monthly Membership</t>
  </si>
  <si>
    <t>Enhancement Fees</t>
  </si>
  <si>
    <t>Healthy Contributions Income</t>
  </si>
  <si>
    <t>Personal Training</t>
  </si>
  <si>
    <t>Refunds</t>
  </si>
  <si>
    <t>Reimbursements</t>
  </si>
  <si>
    <r>
      <t>Ancillary Sales</t>
    </r>
    <r>
      <rPr>
        <vertAlign val="superscript"/>
        <sz val="11"/>
        <color theme="1"/>
        <rFont val="Calibri"/>
        <family val="2"/>
        <scheme val="minor"/>
      </rPr>
      <t>1</t>
    </r>
  </si>
  <si>
    <t>Other Misc Sales</t>
  </si>
  <si>
    <t>Vending</t>
  </si>
  <si>
    <t>Total Revenue</t>
  </si>
  <si>
    <r>
      <t>Consumables Cost</t>
    </r>
    <r>
      <rPr>
        <vertAlign val="superscript"/>
        <sz val="11"/>
        <color theme="1"/>
        <rFont val="Calibri"/>
        <family val="2"/>
        <scheme val="minor"/>
      </rPr>
      <t>2</t>
    </r>
  </si>
  <si>
    <t>Merchant Service Fees</t>
  </si>
  <si>
    <t>Healthy Contributions Fees</t>
  </si>
  <si>
    <r>
      <t>Administrative Fees</t>
    </r>
    <r>
      <rPr>
        <vertAlign val="superscript"/>
        <sz val="11"/>
        <color theme="1"/>
        <rFont val="Calibri"/>
        <family val="2"/>
        <scheme val="minor"/>
      </rPr>
      <t>3</t>
    </r>
  </si>
  <si>
    <t>Credit Card Pass Through Fees</t>
  </si>
  <si>
    <t>Contract Storage Fee</t>
  </si>
  <si>
    <r>
      <t>Processing Fees</t>
    </r>
    <r>
      <rPr>
        <vertAlign val="superscript"/>
        <sz val="11"/>
        <color theme="1"/>
        <rFont val="Calibri"/>
        <family val="2"/>
        <scheme val="minor"/>
      </rPr>
      <t>4</t>
    </r>
  </si>
  <si>
    <t>Key Fobs Expense</t>
  </si>
  <si>
    <t>Freight &amp; Shipping</t>
  </si>
  <si>
    <t>Training Dept Salary/Wages</t>
  </si>
  <si>
    <t>Training Dept Bonus</t>
  </si>
  <si>
    <t>Training Dept Commissions</t>
  </si>
  <si>
    <t>Total Cost of Goods/Services</t>
  </si>
  <si>
    <t>Gross Profit</t>
  </si>
  <si>
    <t>Gross Proft %</t>
  </si>
  <si>
    <t>Management Salary</t>
  </si>
  <si>
    <t>Other Salaries/Wages</t>
  </si>
  <si>
    <t>Commissions</t>
  </si>
  <si>
    <t>Bonuses</t>
  </si>
  <si>
    <t>Total Personnel</t>
  </si>
  <si>
    <r>
      <t>Training/Development</t>
    </r>
    <r>
      <rPr>
        <vertAlign val="superscript"/>
        <sz val="11"/>
        <color theme="1"/>
        <rFont val="Calibri"/>
        <family val="2"/>
        <scheme val="minor"/>
      </rPr>
      <t>5</t>
    </r>
  </si>
  <si>
    <t>Employer Taxes</t>
  </si>
  <si>
    <r>
      <t>Employee Recruiting</t>
    </r>
    <r>
      <rPr>
        <vertAlign val="superscript"/>
        <sz val="11"/>
        <color theme="1"/>
        <rFont val="Calibri"/>
        <family val="2"/>
        <scheme val="minor"/>
      </rPr>
      <t>6</t>
    </r>
  </si>
  <si>
    <t>Total Personnel (Other Costs)</t>
  </si>
  <si>
    <t>Rent Expense</t>
  </si>
  <si>
    <t>Electric</t>
  </si>
  <si>
    <t>Cleaning/Janitorial</t>
  </si>
  <si>
    <t>Repairs and Maintenance</t>
  </si>
  <si>
    <t>Water</t>
  </si>
  <si>
    <t>Total Facility</t>
  </si>
  <si>
    <t>General Liability Insurance</t>
  </si>
  <si>
    <t>Total Insurance</t>
  </si>
  <si>
    <r>
      <t>General Ad Fund</t>
    </r>
    <r>
      <rPr>
        <vertAlign val="superscript"/>
        <sz val="11"/>
        <color theme="1"/>
        <rFont val="Calibri"/>
        <family val="2"/>
        <scheme val="minor"/>
      </rPr>
      <t>7</t>
    </r>
  </si>
  <si>
    <r>
      <t>Advertising and Promotion</t>
    </r>
    <r>
      <rPr>
        <vertAlign val="superscript"/>
        <sz val="11"/>
        <color theme="1"/>
        <rFont val="Calibri"/>
        <family val="2"/>
        <scheme val="minor"/>
      </rPr>
      <t>8</t>
    </r>
  </si>
  <si>
    <t>Total Marketing</t>
  </si>
  <si>
    <r>
      <t>Franchise Fee Expense</t>
    </r>
    <r>
      <rPr>
        <vertAlign val="superscript"/>
        <sz val="11"/>
        <color theme="1"/>
        <rFont val="Calibri"/>
        <family val="2"/>
        <scheme val="minor"/>
      </rPr>
      <t>9</t>
    </r>
  </si>
  <si>
    <r>
      <t>Software Fees</t>
    </r>
    <r>
      <rPr>
        <vertAlign val="superscript"/>
        <sz val="11"/>
        <color theme="1"/>
        <rFont val="Calibri"/>
        <family val="2"/>
        <scheme val="minor"/>
      </rPr>
      <t>9</t>
    </r>
  </si>
  <si>
    <t>Club Supplies (not for resale)</t>
  </si>
  <si>
    <t>Uniforms</t>
  </si>
  <si>
    <t>Bank Service Charges</t>
  </si>
  <si>
    <r>
      <t>Dues/Subscriptions</t>
    </r>
    <r>
      <rPr>
        <vertAlign val="superscript"/>
        <sz val="11"/>
        <color theme="1"/>
        <rFont val="Calibri"/>
        <family val="2"/>
        <scheme val="minor"/>
      </rPr>
      <t>10</t>
    </r>
  </si>
  <si>
    <t>Legal Fees</t>
  </si>
  <si>
    <t>Accounting Fees</t>
  </si>
  <si>
    <t>Telephone Expense</t>
  </si>
  <si>
    <t>Cable/TV/Internet Service</t>
  </si>
  <si>
    <t>Cleaning Supplies</t>
  </si>
  <si>
    <t>Office Supplies</t>
  </si>
  <si>
    <t>Printing/Stationary</t>
  </si>
  <si>
    <t>Postage/Shipping</t>
  </si>
  <si>
    <r>
      <t>Loan Fees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</si>
  <si>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Gym Equipment Expense</t>
    </r>
    <r>
      <rPr>
        <vertAlign val="superscript"/>
        <sz val="11"/>
        <color theme="1"/>
        <rFont val="Calibri"/>
        <family val="2"/>
        <scheme val="minor"/>
      </rPr>
      <t>12</t>
    </r>
  </si>
  <si>
    <t>Total General and Admin</t>
  </si>
  <si>
    <t>Total Expenses</t>
  </si>
  <si>
    <t>Net Operating Income</t>
  </si>
  <si>
    <t>Net Income Margin %</t>
  </si>
  <si>
    <t>Total Other Income</t>
  </si>
  <si>
    <r>
      <t>Taxes &amp; Licenses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</si>
  <si>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Interest Expense</t>
    </r>
    <r>
      <rPr>
        <vertAlign val="superscript"/>
        <sz val="11"/>
        <color theme="1"/>
        <rFont val="Calibri"/>
        <family val="2"/>
        <scheme val="minor"/>
      </rPr>
      <t>14</t>
    </r>
  </si>
  <si>
    <t>Donations</t>
  </si>
  <si>
    <t>Total Other Expenses</t>
  </si>
  <si>
    <t>Net Income</t>
  </si>
  <si>
    <t>Key:</t>
  </si>
  <si>
    <t>1. Ancillary Sales - apparel, supplements, tanning, etc</t>
  </si>
  <si>
    <t>2. Consumables - cost of good/services such as apparel, supplements, vending.  Anything that is being "consumed" by a buyer</t>
  </si>
  <si>
    <t>3. Examples of Administrative Fees are if you decide to get multiple deposits from ABC Financial instead of just the twice per month that is the default</t>
  </si>
  <si>
    <t>4. Processing Fees - any other fees that ABC charges to process payments</t>
  </si>
  <si>
    <t>5. Training/Development - investment back into staff.  This would include contributions to a PT certification, an Excel course or another business or fitness related course. Would also include purchase of books for staff to read</t>
  </si>
  <si>
    <t>6. If you are spending money on Indeed, ZipRecruiter, or a similar platform for recruiting employees, those expenses would be placed in this section</t>
  </si>
  <si>
    <t>7. General Ad Fund - fixed amount that Anytime Fitness Corporate collects for advertising</t>
  </si>
  <si>
    <t>8. Advertising and Promotions - spend outside of the General Ad Fund - for more information on the required spend, reference the Resource Center and FDD. For marketing ideas for this category, contact your FBC.</t>
  </si>
  <si>
    <t>9. Franchise and Software Fee expenses - fixed amounts charged by Anytime Fitness Corporate</t>
  </si>
  <si>
    <t>10. Dues/Subscriptions - includes things like magazines and subscriptions/dues to different industry organizations if applicable</t>
  </si>
  <si>
    <t>11. Loan fees - fees outside of the interest and principal.  Examples include application, processing, origination, closing annual, late, overdraft, NSF and prepayment fees to name a few.</t>
  </si>
  <si>
    <t>12. If you purchase additional equipment for your club, those expenses would be placed here</t>
  </si>
  <si>
    <t>13. Taxes - if you were to owe any taxes following your filing.  Licenses would be filings done through the state such as LLC filings</t>
  </si>
  <si>
    <t>14. Only interest expense is included if you have an SBA loan or another loan for your business.  Principal for the loan would not be included in the 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</si>
</sst>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3" borderId="1" applyNumberFormat="0" applyAlignment="0" applyProtection="0"/>
  </cellStyleXfs>
  <cellXfs count="18">
    <xf numFmtId="0" fontId="0" fillId="0" borderId="0" xfId="0"/>
    <xf numFmtId="0" fontId="4" fillId="4" borderId="2" xfId="0" applyFont="1" applyFill="1" applyBorder="1" applyAlignment="1">
      <alignment horizontal="center"/>
    </xf>
    <xf numFmtId="43" fontId="2" fillId="2" borderId="1" xfId="1" applyFont="1" applyFill="1" applyBorder="1"/>
    <xf numFmtId="0" fontId="7" fillId="5" borderId="3" xfId="0" applyFont="1" applyFill="1" applyBorder="1"/>
    <xf numFmtId="43" fontId="3" fillId="3" borderId="1" xfId="2" applyNumberFormat="1"/>
    <xf numFmtId="43" fontId="0" fillId="0" borderId="0" xfId="1" applyFont="1"/>
    <xf numFmtId="0" fontId="4" fillId="6" borderId="3" xfId="0" applyFont="1" applyFill="1" applyBorder="1"/>
    <xf numFmtId="43" fontId="0" fillId="6" borderId="3" xfId="1" applyFont="1" applyFill="1" applyBorder="1"/>
    <xf numFmtId="0" fontId="8" fillId="6" borderId="0" xfId="0" applyFont="1" applyFill="1"/>
    <xf numFmtId="43" fontId="9" fillId="6" borderId="0" xfId="1" applyFont="1" applyFill="1" applyBorder="1"/>
    <xf numFmtId="0" fontId="9" fillId="0" borderId="0" xfId="0" applyFont="1"/>
    <xf numFmtId="0" fontId="5" fillId="0" borderId="0" xfId="0" applyFont="1"/>
    <xf numFmtId="0" fontId="7" fillId="6" borderId="3" xfId="0" applyFont="1" applyFill="1" applyBorder="1"/>
    <xf numFmtId="43" fontId="10" fillId="6" borderId="3" xfId="1" applyFont="1" applyFill="1" applyBorder="1"/>
    <xf numFmtId="0" fontId="5" fillId="0" borderId="0" xfId="0" applyFont="1"/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3">
    <cellStyle name="Calculation" xfId="2" builtinId="22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4566-D1D0-4585-AA1D-A7116723FB88}">
  <dimension ref="A1:T104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outlineLevelRow="1" x14ac:dyDescent="0.3"/>
  <cols>
    <col min="1" max="1" width="29.6640625" bestFit="1" customWidth="1"/>
    <col min="10" max="10" width="10.88671875" bestFit="1" customWidth="1"/>
    <col min="11" max="11" width="8.109375" bestFit="1" customWidth="1"/>
    <col min="12" max="12" width="10.44140625" bestFit="1" customWidth="1"/>
    <col min="13" max="13" width="10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outlineLevel="1" x14ac:dyDescent="0.3">
      <c r="A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outlineLevel="1" x14ac:dyDescent="0.3">
      <c r="A3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outlineLevel="1" x14ac:dyDescent="0.3">
      <c r="A4" t="s">
        <v>15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outlineLevel="1" x14ac:dyDescent="0.3">
      <c r="A5" t="s">
        <v>16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outlineLevel="1" x14ac:dyDescent="0.3">
      <c r="A6" t="s">
        <v>17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outlineLevel="1" x14ac:dyDescent="0.3">
      <c r="A7" t="s">
        <v>18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6.2" outlineLevel="1" x14ac:dyDescent="0.3">
      <c r="A8" t="s">
        <v>19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outlineLevel="1" x14ac:dyDescent="0.3">
      <c r="A9" t="s">
        <v>20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outlineLevel="1" x14ac:dyDescent="0.3">
      <c r="A10" t="s">
        <v>21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3" t="s">
        <v>22</v>
      </c>
      <c r="B11" s="4">
        <f t="shared" ref="B11:M11" si="0">SUM(B2:B10)</f>
        <v>0</v>
      </c>
      <c r="C11" s="4">
        <f t="shared" si="0"/>
        <v>0</v>
      </c>
      <c r="D11" s="4">
        <f t="shared" si="0"/>
        <v>0</v>
      </c>
      <c r="E11" s="4">
        <f t="shared" si="0"/>
        <v>0</v>
      </c>
      <c r="F11" s="4">
        <f t="shared" si="0"/>
        <v>0</v>
      </c>
      <c r="G11" s="4">
        <f t="shared" si="0"/>
        <v>0</v>
      </c>
      <c r="H11" s="4">
        <f t="shared" si="0"/>
        <v>0</v>
      </c>
      <c r="I11" s="4">
        <f t="shared" si="0"/>
        <v>0</v>
      </c>
      <c r="J11" s="4">
        <f t="shared" si="0"/>
        <v>0</v>
      </c>
      <c r="K11" s="4">
        <f t="shared" si="0"/>
        <v>0</v>
      </c>
      <c r="L11" s="4">
        <f t="shared" si="0"/>
        <v>0</v>
      </c>
      <c r="M11" s="4">
        <f t="shared" si="0"/>
        <v>0</v>
      </c>
    </row>
    <row r="12" spans="1:13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6.2" outlineLevel="1" x14ac:dyDescent="0.3">
      <c r="A13" t="s">
        <v>23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outlineLevel="1" x14ac:dyDescent="0.3">
      <c r="A14" t="s">
        <v>24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outlineLevel="1" x14ac:dyDescent="0.3">
      <c r="A15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6.2" outlineLevel="1" x14ac:dyDescent="0.3">
      <c r="A16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outlineLevel="1" x14ac:dyDescent="0.3">
      <c r="A17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outlineLevel="1" x14ac:dyDescent="0.3">
      <c r="A18" t="s">
        <v>28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6.2" outlineLevel="1" x14ac:dyDescent="0.3">
      <c r="A19" t="s">
        <v>29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outlineLevel="1" x14ac:dyDescent="0.3">
      <c r="A20" t="s">
        <v>30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outlineLevel="1" x14ac:dyDescent="0.3">
      <c r="A21" t="s">
        <v>31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outlineLevel="1" x14ac:dyDescent="0.3">
      <c r="A22" t="s">
        <v>32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outlineLevel="1" x14ac:dyDescent="0.3">
      <c r="A23" t="s">
        <v>33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outlineLevel="1" x14ac:dyDescent="0.3">
      <c r="A24" t="s">
        <v>34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3" t="s">
        <v>35</v>
      </c>
      <c r="B25" s="4">
        <f>SUM(B13:B24)</f>
        <v>0</v>
      </c>
      <c r="C25" s="4">
        <f t="shared" ref="C25:M25" si="1">SUM(C13:C24)</f>
        <v>0</v>
      </c>
      <c r="D25" s="4">
        <f t="shared" si="1"/>
        <v>0</v>
      </c>
      <c r="E25" s="4">
        <f t="shared" si="1"/>
        <v>0</v>
      </c>
      <c r="F25" s="4">
        <f t="shared" si="1"/>
        <v>0</v>
      </c>
      <c r="G25" s="4">
        <f t="shared" si="1"/>
        <v>0</v>
      </c>
      <c r="H25" s="4">
        <f t="shared" si="1"/>
        <v>0</v>
      </c>
      <c r="I25" s="4">
        <f t="shared" si="1"/>
        <v>0</v>
      </c>
      <c r="J25" s="4">
        <f t="shared" si="1"/>
        <v>0</v>
      </c>
      <c r="K25" s="4">
        <f t="shared" si="1"/>
        <v>0</v>
      </c>
      <c r="L25" s="4">
        <f t="shared" si="1"/>
        <v>0</v>
      </c>
      <c r="M25" s="4">
        <f t="shared" si="1"/>
        <v>0</v>
      </c>
    </row>
    <row r="26" spans="1:13" x14ac:dyDescent="0.3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collapsed="1" x14ac:dyDescent="0.3">
      <c r="A27" s="6" t="s">
        <v>36</v>
      </c>
      <c r="B27" s="7">
        <f t="shared" ref="B27:M27" si="2">B11-B25</f>
        <v>0</v>
      </c>
      <c r="C27" s="7">
        <f t="shared" si="2"/>
        <v>0</v>
      </c>
      <c r="D27" s="7">
        <f t="shared" si="2"/>
        <v>0</v>
      </c>
      <c r="E27" s="7">
        <f t="shared" si="2"/>
        <v>0</v>
      </c>
      <c r="F27" s="7">
        <f t="shared" si="2"/>
        <v>0</v>
      </c>
      <c r="G27" s="7">
        <f t="shared" si="2"/>
        <v>0</v>
      </c>
      <c r="H27" s="7">
        <f t="shared" si="2"/>
        <v>0</v>
      </c>
      <c r="I27" s="7">
        <f t="shared" si="2"/>
        <v>0</v>
      </c>
      <c r="J27" s="7">
        <f t="shared" si="2"/>
        <v>0</v>
      </c>
      <c r="K27" s="7">
        <f t="shared" si="2"/>
        <v>0</v>
      </c>
      <c r="L27" s="7">
        <f t="shared" si="2"/>
        <v>0</v>
      </c>
      <c r="M27" s="7">
        <f t="shared" si="2"/>
        <v>0</v>
      </c>
    </row>
    <row r="28" spans="1:13" s="10" customFormat="1" ht="10.199999999999999" x14ac:dyDescent="0.2">
      <c r="A28" s="8" t="s">
        <v>37</v>
      </c>
      <c r="B28" s="9" t="e">
        <f t="shared" ref="B28:M28" si="3">B27/B11</f>
        <v>#DIV/0!</v>
      </c>
      <c r="C28" s="9" t="e">
        <f t="shared" si="3"/>
        <v>#DIV/0!</v>
      </c>
      <c r="D28" s="9" t="e">
        <f t="shared" si="3"/>
        <v>#DIV/0!</v>
      </c>
      <c r="E28" s="9" t="e">
        <f t="shared" si="3"/>
        <v>#DIV/0!</v>
      </c>
      <c r="F28" s="9" t="e">
        <f t="shared" si="3"/>
        <v>#DIV/0!</v>
      </c>
      <c r="G28" s="9" t="e">
        <f t="shared" si="3"/>
        <v>#DIV/0!</v>
      </c>
      <c r="H28" s="9" t="e">
        <f t="shared" si="3"/>
        <v>#DIV/0!</v>
      </c>
      <c r="I28" s="9" t="e">
        <f t="shared" si="3"/>
        <v>#DIV/0!</v>
      </c>
      <c r="J28" s="9" t="e">
        <f t="shared" si="3"/>
        <v>#DIV/0!</v>
      </c>
      <c r="K28" s="9" t="e">
        <f t="shared" si="3"/>
        <v>#DIV/0!</v>
      </c>
      <c r="L28" s="9" t="e">
        <f t="shared" si="3"/>
        <v>#DIV/0!</v>
      </c>
      <c r="M28" s="9" t="e">
        <f t="shared" si="3"/>
        <v>#DIV/0!</v>
      </c>
    </row>
    <row r="29" spans="1:13" x14ac:dyDescent="0.3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outlineLevel="1" x14ac:dyDescent="0.3">
      <c r="A30" t="s">
        <v>38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outlineLevel="1" x14ac:dyDescent="0.3">
      <c r="A31" t="s">
        <v>39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outlineLevel="1" x14ac:dyDescent="0.3">
      <c r="A32" t="s">
        <v>40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outlineLevel="1" x14ac:dyDescent="0.3">
      <c r="A33" t="s">
        <v>41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3" t="s">
        <v>42</v>
      </c>
      <c r="B34" s="4">
        <f t="shared" ref="B34:M34" si="4">SUM(B30:B33)</f>
        <v>0</v>
      </c>
      <c r="C34" s="4">
        <f t="shared" si="4"/>
        <v>0</v>
      </c>
      <c r="D34" s="4">
        <f t="shared" si="4"/>
        <v>0</v>
      </c>
      <c r="E34" s="4">
        <f t="shared" si="4"/>
        <v>0</v>
      </c>
      <c r="F34" s="4">
        <f t="shared" si="4"/>
        <v>0</v>
      </c>
      <c r="G34" s="4">
        <f t="shared" si="4"/>
        <v>0</v>
      </c>
      <c r="H34" s="4">
        <f t="shared" si="4"/>
        <v>0</v>
      </c>
      <c r="I34" s="4">
        <f t="shared" si="4"/>
        <v>0</v>
      </c>
      <c r="J34" s="4">
        <f t="shared" si="4"/>
        <v>0</v>
      </c>
      <c r="K34" s="4">
        <f t="shared" si="4"/>
        <v>0</v>
      </c>
      <c r="L34" s="4">
        <f t="shared" si="4"/>
        <v>0</v>
      </c>
      <c r="M34" s="4">
        <f t="shared" si="4"/>
        <v>0</v>
      </c>
    </row>
    <row r="35" spans="1:13" x14ac:dyDescent="0.3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ht="16.2" outlineLevel="1" x14ac:dyDescent="0.3">
      <c r="A36" t="s">
        <v>43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outlineLevel="1" x14ac:dyDescent="0.3">
      <c r="A37" t="s">
        <v>44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6.2" outlineLevel="1" x14ac:dyDescent="0.3">
      <c r="A38" t="s">
        <v>45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3">
      <c r="A39" s="3" t="s">
        <v>46</v>
      </c>
      <c r="B39" s="4">
        <f t="shared" ref="B39:M39" si="5">SUM(B36:B38)</f>
        <v>0</v>
      </c>
      <c r="C39" s="4">
        <f t="shared" si="5"/>
        <v>0</v>
      </c>
      <c r="D39" s="4">
        <f t="shared" si="5"/>
        <v>0</v>
      </c>
      <c r="E39" s="4">
        <f t="shared" si="5"/>
        <v>0</v>
      </c>
      <c r="F39" s="4">
        <f t="shared" si="5"/>
        <v>0</v>
      </c>
      <c r="G39" s="4">
        <f t="shared" si="5"/>
        <v>0</v>
      </c>
      <c r="H39" s="4">
        <f t="shared" si="5"/>
        <v>0</v>
      </c>
      <c r="I39" s="4">
        <f t="shared" si="5"/>
        <v>0</v>
      </c>
      <c r="J39" s="4">
        <f t="shared" si="5"/>
        <v>0</v>
      </c>
      <c r="K39" s="4">
        <f t="shared" si="5"/>
        <v>0</v>
      </c>
      <c r="L39" s="4">
        <f t="shared" si="5"/>
        <v>0</v>
      </c>
      <c r="M39" s="4">
        <f t="shared" si="5"/>
        <v>0</v>
      </c>
    </row>
    <row r="40" spans="1:13" x14ac:dyDescent="0.3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outlineLevel="1" x14ac:dyDescent="0.3">
      <c r="A41" t="s">
        <v>47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outlineLevel="1" x14ac:dyDescent="0.3">
      <c r="A42" t="s">
        <v>48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outlineLevel="1" x14ac:dyDescent="0.3">
      <c r="A43" t="s">
        <v>49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outlineLevel="1" x14ac:dyDescent="0.3">
      <c r="A44" t="s">
        <v>50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outlineLevel="1" x14ac:dyDescent="0.3">
      <c r="A45" t="s">
        <v>51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3">
      <c r="A46" s="3" t="s">
        <v>52</v>
      </c>
      <c r="B46" s="4">
        <f t="shared" ref="B46:M46" si="6">SUM(B41:B45)</f>
        <v>0</v>
      </c>
      <c r="C46" s="4">
        <f t="shared" si="6"/>
        <v>0</v>
      </c>
      <c r="D46" s="4">
        <f t="shared" si="6"/>
        <v>0</v>
      </c>
      <c r="E46" s="4">
        <f t="shared" si="6"/>
        <v>0</v>
      </c>
      <c r="F46" s="4">
        <f t="shared" si="6"/>
        <v>0</v>
      </c>
      <c r="G46" s="4">
        <f t="shared" si="6"/>
        <v>0</v>
      </c>
      <c r="H46" s="4">
        <f t="shared" si="6"/>
        <v>0</v>
      </c>
      <c r="I46" s="4">
        <f t="shared" si="6"/>
        <v>0</v>
      </c>
      <c r="J46" s="4">
        <f t="shared" si="6"/>
        <v>0</v>
      </c>
      <c r="K46" s="4">
        <f t="shared" si="6"/>
        <v>0</v>
      </c>
      <c r="L46" s="4">
        <f t="shared" si="6"/>
        <v>0</v>
      </c>
      <c r="M46" s="4">
        <f t="shared" si="6"/>
        <v>0</v>
      </c>
    </row>
    <row r="47" spans="1:13" x14ac:dyDescent="0.3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outlineLevel="1" x14ac:dyDescent="0.3">
      <c r="A48" t="s">
        <v>53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">
      <c r="A49" s="3" t="s">
        <v>54</v>
      </c>
      <c r="B49" s="4">
        <f t="shared" ref="B49:M49" si="7">B48</f>
        <v>0</v>
      </c>
      <c r="C49" s="4">
        <f t="shared" si="7"/>
        <v>0</v>
      </c>
      <c r="D49" s="4">
        <f t="shared" si="7"/>
        <v>0</v>
      </c>
      <c r="E49" s="4">
        <f t="shared" si="7"/>
        <v>0</v>
      </c>
      <c r="F49" s="4">
        <f t="shared" si="7"/>
        <v>0</v>
      </c>
      <c r="G49" s="4">
        <f t="shared" si="7"/>
        <v>0</v>
      </c>
      <c r="H49" s="4">
        <f t="shared" si="7"/>
        <v>0</v>
      </c>
      <c r="I49" s="4">
        <f t="shared" si="7"/>
        <v>0</v>
      </c>
      <c r="J49" s="4">
        <f t="shared" si="7"/>
        <v>0</v>
      </c>
      <c r="K49" s="4">
        <f t="shared" si="7"/>
        <v>0</v>
      </c>
      <c r="L49" s="4">
        <f t="shared" si="7"/>
        <v>0</v>
      </c>
      <c r="M49" s="4">
        <f t="shared" si="7"/>
        <v>0</v>
      </c>
    </row>
    <row r="50" spans="1:13" x14ac:dyDescent="0.3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ht="16.2" outlineLevel="1" x14ac:dyDescent="0.3">
      <c r="A51" t="s">
        <v>55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6.2" outlineLevel="1" x14ac:dyDescent="0.3">
      <c r="A52" t="s">
        <v>56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">
      <c r="A53" s="3" t="s">
        <v>57</v>
      </c>
      <c r="B53" s="4">
        <f t="shared" ref="B53:M53" si="8">SUM(B51:B52)</f>
        <v>0</v>
      </c>
      <c r="C53" s="4">
        <f t="shared" si="8"/>
        <v>0</v>
      </c>
      <c r="D53" s="4">
        <f t="shared" si="8"/>
        <v>0</v>
      </c>
      <c r="E53" s="4">
        <f t="shared" si="8"/>
        <v>0</v>
      </c>
      <c r="F53" s="4">
        <f t="shared" si="8"/>
        <v>0</v>
      </c>
      <c r="G53" s="4">
        <f t="shared" si="8"/>
        <v>0</v>
      </c>
      <c r="H53" s="4">
        <f t="shared" si="8"/>
        <v>0</v>
      </c>
      <c r="I53" s="4">
        <f t="shared" si="8"/>
        <v>0</v>
      </c>
      <c r="J53" s="4">
        <f t="shared" si="8"/>
        <v>0</v>
      </c>
      <c r="K53" s="4">
        <f t="shared" si="8"/>
        <v>0</v>
      </c>
      <c r="L53" s="4">
        <f t="shared" si="8"/>
        <v>0</v>
      </c>
      <c r="M53" s="4">
        <f t="shared" si="8"/>
        <v>0</v>
      </c>
    </row>
    <row r="54" spans="1:13" x14ac:dyDescent="0.3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ht="16.2" outlineLevel="1" x14ac:dyDescent="0.3">
      <c r="A55" t="s">
        <v>58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6.2" outlineLevel="1" x14ac:dyDescent="0.3">
      <c r="A56" t="s">
        <v>59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outlineLevel="1" x14ac:dyDescent="0.3">
      <c r="A57" t="s">
        <v>60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outlineLevel="1" x14ac:dyDescent="0.3">
      <c r="A58" t="s">
        <v>61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outlineLevel="1" x14ac:dyDescent="0.3">
      <c r="A59" t="s">
        <v>62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6.2" outlineLevel="1" x14ac:dyDescent="0.3">
      <c r="A60" t="s">
        <v>63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outlineLevel="1" x14ac:dyDescent="0.3">
      <c r="A61" t="s">
        <v>64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outlineLevel="1" x14ac:dyDescent="0.3">
      <c r="A62" t="s">
        <v>65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outlineLevel="1" x14ac:dyDescent="0.3">
      <c r="A63" t="s">
        <v>66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outlineLevel="1" x14ac:dyDescent="0.3">
      <c r="A64" t="s">
        <v>67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outlineLevel="1" x14ac:dyDescent="0.3">
      <c r="A65" t="s">
        <v>68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outlineLevel="1" x14ac:dyDescent="0.3">
      <c r="A66" t="s">
        <v>69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outlineLevel="1" x14ac:dyDescent="0.3">
      <c r="A67" t="s">
        <v>70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outlineLevel="1" x14ac:dyDescent="0.3">
      <c r="A68" t="s">
        <v>71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6.2" outlineLevel="1" x14ac:dyDescent="0.3">
      <c r="A69" t="s">
        <v>72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6.2" outlineLevel="1" x14ac:dyDescent="0.3">
      <c r="A70" t="s">
        <v>73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3">
      <c r="A71" s="3" t="s">
        <v>74</v>
      </c>
      <c r="B71" s="4">
        <f t="shared" ref="B71:M71" si="9">SUM(B55:B70)</f>
        <v>0</v>
      </c>
      <c r="C71" s="4">
        <f t="shared" si="9"/>
        <v>0</v>
      </c>
      <c r="D71" s="4">
        <f t="shared" si="9"/>
        <v>0</v>
      </c>
      <c r="E71" s="4">
        <f t="shared" si="9"/>
        <v>0</v>
      </c>
      <c r="F71" s="4">
        <f t="shared" si="9"/>
        <v>0</v>
      </c>
      <c r="G71" s="4">
        <f t="shared" si="9"/>
        <v>0</v>
      </c>
      <c r="H71" s="4">
        <f t="shared" si="9"/>
        <v>0</v>
      </c>
      <c r="I71" s="4">
        <f t="shared" si="9"/>
        <v>0</v>
      </c>
      <c r="J71" s="4">
        <f t="shared" si="9"/>
        <v>0</v>
      </c>
      <c r="K71" s="4">
        <f t="shared" si="9"/>
        <v>0</v>
      </c>
      <c r="L71" s="4">
        <f t="shared" si="9"/>
        <v>0</v>
      </c>
      <c r="M71" s="4">
        <f t="shared" si="9"/>
        <v>0</v>
      </c>
    </row>
    <row r="72" spans="1:13" x14ac:dyDescent="0.3">
      <c r="A72" s="1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 x14ac:dyDescent="0.3">
      <c r="A73" s="6" t="s">
        <v>75</v>
      </c>
      <c r="B73" s="7">
        <f t="shared" ref="B73:M73" si="10">SUM(B71,B53,B49,B46,B39,B34)</f>
        <v>0</v>
      </c>
      <c r="C73" s="7">
        <f t="shared" si="10"/>
        <v>0</v>
      </c>
      <c r="D73" s="7">
        <f t="shared" si="10"/>
        <v>0</v>
      </c>
      <c r="E73" s="7">
        <f t="shared" si="10"/>
        <v>0</v>
      </c>
      <c r="F73" s="7">
        <f t="shared" si="10"/>
        <v>0</v>
      </c>
      <c r="G73" s="7">
        <f t="shared" si="10"/>
        <v>0</v>
      </c>
      <c r="H73" s="7">
        <f t="shared" si="10"/>
        <v>0</v>
      </c>
      <c r="I73" s="7">
        <f t="shared" si="10"/>
        <v>0</v>
      </c>
      <c r="J73" s="7">
        <f t="shared" si="10"/>
        <v>0</v>
      </c>
      <c r="K73" s="7">
        <f t="shared" si="10"/>
        <v>0</v>
      </c>
      <c r="L73" s="7">
        <f t="shared" si="10"/>
        <v>0</v>
      </c>
      <c r="M73" s="7">
        <f t="shared" si="10"/>
        <v>0</v>
      </c>
    </row>
    <row r="74" spans="1:13" x14ac:dyDescent="0.3">
      <c r="A74" s="1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 x14ac:dyDescent="0.3">
      <c r="A75" s="6" t="s">
        <v>76</v>
      </c>
      <c r="B75" s="7">
        <f t="shared" ref="B75:M75" si="11">B27-B73</f>
        <v>0</v>
      </c>
      <c r="C75" s="7">
        <f t="shared" si="11"/>
        <v>0</v>
      </c>
      <c r="D75" s="7">
        <f t="shared" si="11"/>
        <v>0</v>
      </c>
      <c r="E75" s="7">
        <f t="shared" si="11"/>
        <v>0</v>
      </c>
      <c r="F75" s="7">
        <f t="shared" si="11"/>
        <v>0</v>
      </c>
      <c r="G75" s="7">
        <f t="shared" si="11"/>
        <v>0</v>
      </c>
      <c r="H75" s="7">
        <f t="shared" si="11"/>
        <v>0</v>
      </c>
      <c r="I75" s="7">
        <f t="shared" si="11"/>
        <v>0</v>
      </c>
      <c r="J75" s="7">
        <f t="shared" si="11"/>
        <v>0</v>
      </c>
      <c r="K75" s="7">
        <f t="shared" si="11"/>
        <v>0</v>
      </c>
      <c r="L75" s="7">
        <f t="shared" si="11"/>
        <v>0</v>
      </c>
      <c r="M75" s="7">
        <f t="shared" si="11"/>
        <v>0</v>
      </c>
    </row>
    <row r="76" spans="1:13" s="10" customFormat="1" ht="10.199999999999999" x14ac:dyDescent="0.2">
      <c r="A76" s="8" t="s">
        <v>77</v>
      </c>
      <c r="B76" s="9" t="e">
        <f t="shared" ref="B76:M76" si="12">B75/B11</f>
        <v>#DIV/0!</v>
      </c>
      <c r="C76" s="9" t="e">
        <f t="shared" si="12"/>
        <v>#DIV/0!</v>
      </c>
      <c r="D76" s="9" t="e">
        <f t="shared" si="12"/>
        <v>#DIV/0!</v>
      </c>
      <c r="E76" s="9" t="e">
        <f t="shared" si="12"/>
        <v>#DIV/0!</v>
      </c>
      <c r="F76" s="9" t="e">
        <f t="shared" si="12"/>
        <v>#DIV/0!</v>
      </c>
      <c r="G76" s="9" t="e">
        <f t="shared" si="12"/>
        <v>#DIV/0!</v>
      </c>
      <c r="H76" s="9" t="e">
        <f t="shared" si="12"/>
        <v>#DIV/0!</v>
      </c>
      <c r="I76" s="9" t="e">
        <f t="shared" si="12"/>
        <v>#DIV/0!</v>
      </c>
      <c r="J76" s="9" t="e">
        <f t="shared" si="12"/>
        <v>#DIV/0!</v>
      </c>
      <c r="K76" s="9" t="e">
        <f t="shared" si="12"/>
        <v>#DIV/0!</v>
      </c>
      <c r="L76" s="9" t="e">
        <f t="shared" si="12"/>
        <v>#DIV/0!</v>
      </c>
      <c r="M76" s="9" t="e">
        <f t="shared" si="12"/>
        <v>#DIV/0!</v>
      </c>
    </row>
    <row r="77" spans="1:13" x14ac:dyDescent="0.3">
      <c r="A77" s="1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 collapsed="1" x14ac:dyDescent="0.3">
      <c r="A78" s="3" t="s">
        <v>78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</row>
    <row r="79" spans="1:13" x14ac:dyDescent="0.3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 ht="16.2" outlineLevel="1" x14ac:dyDescent="0.3">
      <c r="A80" t="s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20" ht="16.2" outlineLevel="1" x14ac:dyDescent="0.3">
      <c r="A81" t="s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20" outlineLevel="1" x14ac:dyDescent="0.3">
      <c r="A82" t="s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20" x14ac:dyDescent="0.3">
      <c r="A83" s="3" t="s">
        <v>82</v>
      </c>
      <c r="B83" s="4">
        <f t="shared" ref="B83:M83" si="13">SUM(B80:B82)</f>
        <v>0</v>
      </c>
      <c r="C83" s="4">
        <f t="shared" si="13"/>
        <v>0</v>
      </c>
      <c r="D83" s="4">
        <f t="shared" si="13"/>
        <v>0</v>
      </c>
      <c r="E83" s="4">
        <f t="shared" si="13"/>
        <v>0</v>
      </c>
      <c r="F83" s="4">
        <f t="shared" si="13"/>
        <v>0</v>
      </c>
      <c r="G83" s="4">
        <f t="shared" si="13"/>
        <v>0</v>
      </c>
      <c r="H83" s="4">
        <f t="shared" si="13"/>
        <v>0</v>
      </c>
      <c r="I83" s="4">
        <f t="shared" si="13"/>
        <v>0</v>
      </c>
      <c r="J83" s="4">
        <f t="shared" si="13"/>
        <v>0</v>
      </c>
      <c r="K83" s="4">
        <f t="shared" si="13"/>
        <v>0</v>
      </c>
      <c r="L83" s="4">
        <f t="shared" si="13"/>
        <v>0</v>
      </c>
      <c r="M83" s="4">
        <f t="shared" si="13"/>
        <v>0</v>
      </c>
    </row>
    <row r="84" spans="1:20" x14ac:dyDescent="0.3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1:20" x14ac:dyDescent="0.3">
      <c r="A85" s="12" t="s">
        <v>83</v>
      </c>
      <c r="B85" s="13">
        <f t="shared" ref="B85:M85" si="14">B75-B83</f>
        <v>0</v>
      </c>
      <c r="C85" s="13">
        <f t="shared" si="14"/>
        <v>0</v>
      </c>
      <c r="D85" s="13">
        <f t="shared" si="14"/>
        <v>0</v>
      </c>
      <c r="E85" s="13">
        <f t="shared" si="14"/>
        <v>0</v>
      </c>
      <c r="F85" s="13">
        <f t="shared" si="14"/>
        <v>0</v>
      </c>
      <c r="G85" s="13">
        <f t="shared" si="14"/>
        <v>0</v>
      </c>
      <c r="H85" s="13">
        <f t="shared" si="14"/>
        <v>0</v>
      </c>
      <c r="I85" s="13">
        <f t="shared" si="14"/>
        <v>0</v>
      </c>
      <c r="J85" s="13">
        <f t="shared" si="14"/>
        <v>0</v>
      </c>
      <c r="K85" s="13">
        <f t="shared" si="14"/>
        <v>0</v>
      </c>
      <c r="L85" s="13">
        <f t="shared" si="14"/>
        <v>0</v>
      </c>
      <c r="M85" s="13">
        <f t="shared" si="14"/>
        <v>0</v>
      </c>
    </row>
    <row r="87" spans="1:20" x14ac:dyDescent="0.3">
      <c r="A87" s="14" t="s">
        <v>84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spans="1:20" x14ac:dyDescent="0.3">
      <c r="A88" s="15" t="s">
        <v>85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1:20" x14ac:dyDescent="0.3">
      <c r="A89" s="15" t="s">
        <v>86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1:20" x14ac:dyDescent="0.3">
      <c r="A90" s="15" t="s">
        <v>87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 x14ac:dyDescent="0.3">
      <c r="A91" s="15" t="s">
        <v>88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ht="14.4" customHeight="1" x14ac:dyDescent="0.3">
      <c r="A92" s="16" t="s">
        <v>89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7"/>
      <c r="Q92" s="17"/>
      <c r="R92" s="17"/>
      <c r="S92" s="17"/>
      <c r="T92" s="17"/>
    </row>
    <row r="93" spans="1:20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7"/>
      <c r="Q93" s="17"/>
      <c r="R93" s="17"/>
      <c r="S93" s="17"/>
      <c r="T93" s="17"/>
    </row>
    <row r="94" spans="1:20" x14ac:dyDescent="0.3">
      <c r="A94" s="15" t="s">
        <v>90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spans="1:20" x14ac:dyDescent="0.3">
      <c r="A95" s="15" t="s">
        <v>91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 spans="1:20" x14ac:dyDescent="0.3">
      <c r="A96" s="16" t="s">
        <v>92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1:20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1:20" x14ac:dyDescent="0.3">
      <c r="A98" s="15" t="s">
        <v>93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 spans="1:20" x14ac:dyDescent="0.3">
      <c r="A99" s="15" t="s">
        <v>94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 spans="1:20" x14ac:dyDescent="0.3">
      <c r="A100" s="16" t="s">
        <v>95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20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20" x14ac:dyDescent="0.3">
      <c r="A102" s="15" t="s">
        <v>96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 spans="1:20" x14ac:dyDescent="0.3">
      <c r="A103" s="15" t="s">
        <v>97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</row>
    <row r="104" spans="1:20" x14ac:dyDescent="0.3">
      <c r="A104" s="15" t="s">
        <v>98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</sheetData>
  <mergeCells count="15">
    <mergeCell ref="A102:T102"/>
    <mergeCell ref="A103:T103"/>
    <mergeCell ref="A104:T104"/>
    <mergeCell ref="A94:T94"/>
    <mergeCell ref="A95:T95"/>
    <mergeCell ref="A96:O97"/>
    <mergeCell ref="A98:T98"/>
    <mergeCell ref="A99:T99"/>
    <mergeCell ref="A100:O101"/>
    <mergeCell ref="A87:T87"/>
    <mergeCell ref="A88:T88"/>
    <mergeCell ref="A89:T89"/>
    <mergeCell ref="A90:T90"/>
    <mergeCell ref="A91:T91"/>
    <mergeCell ref="A92:O93"/>
  </mergeCells>
  <pageMargins left="0.7" right="0.7" top="0.75" bottom="0.75" header="0.3" footer="0.3"/>
  <pageSetup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2B1F974876D447A85B79FE6AFDC31E" ma:contentTypeVersion="13" ma:contentTypeDescription="Create a new document." ma:contentTypeScope="" ma:versionID="d8cb45355b0c1bd6ea774fa0c3245b71">
  <xsd:schema xmlns:xsd="http://www.w3.org/2001/XMLSchema" xmlns:xs="http://www.w3.org/2001/XMLSchema" xmlns:p="http://schemas.microsoft.com/office/2006/metadata/properties" xmlns:ns3="a4fcd5bd-6b8e-4d1f-ae94-c3d06a11e43d" xmlns:ns4="7146045c-084a-4290-909c-66a47e506fea" targetNamespace="http://schemas.microsoft.com/office/2006/metadata/properties" ma:root="true" ma:fieldsID="f541913bcb7fb29cb57edee032e4ca2e" ns3:_="" ns4:_="">
    <xsd:import namespace="a4fcd5bd-6b8e-4d1f-ae94-c3d06a11e43d"/>
    <xsd:import namespace="7146045c-084a-4290-909c-66a47e506f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cd5bd-6b8e-4d1f-ae94-c3d06a11e4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045c-084a-4290-909c-66a47e506fe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CFA67E-0F36-491D-AB40-D6FD75CBD9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fcd5bd-6b8e-4d1f-ae94-c3d06a11e43d"/>
    <ds:schemaRef ds:uri="7146045c-084a-4290-909c-66a47e506f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848848-737B-4AC0-B064-F6E9F63720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356221-8669-467C-BAA9-927D5B535BE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P&amp;L</vt:lpstr>
      <vt:lpstr>'P&amp;L'!Print_Area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Tobin</dc:creator>
  <cp:lastModifiedBy>Martha Tobin</cp:lastModifiedBy>
  <dcterms:created xsi:type="dcterms:W3CDTF">2020-12-29T15:41:14Z</dcterms:created>
  <dcterms:modified xsi:type="dcterms:W3CDTF">2020-12-29T15:42:10Z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0x010100452B1F974876D447A85B79FE6AFDC31E</vt:lpwstr>
  </property>
</Properties>
</file>