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.comiskey\Desktop\"/>
    </mc:Choice>
  </mc:AlternateContent>
  <xr:revisionPtr revIDLastSave="0" documentId="13_ncr:1_{FE4598F4-3D17-4B4C-A177-EF0C9DA37A36}" xr6:coauthVersionLast="45" xr6:coauthVersionMax="45" xr10:uidLastSave="{00000000-0000-0000-0000-000000000000}"/>
  <bookViews>
    <workbookView xWindow="-120" yWindow="-120" windowWidth="29040" windowHeight="15840" xr2:uid="{148C445E-9034-4BC7-915D-6510D51EDF8F}"/>
  </bookViews>
  <sheets>
    <sheet name="P&amp;L" sheetId="2" r:id="rId1"/>
    <sheet name="Cash Flow" sheetId="1" r:id="rId2"/>
  </sheets>
  <definedNames>
    <definedName name="_xlnm.Print_Area" localSheetId="1">'Cash Flow'!$A$1:$P$32</definedName>
    <definedName name="_xlnm.Print_Area" localSheetId="0">'P&amp;L'!$A$1:$O$104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5" i="2" l="1"/>
  <c r="D25" i="2"/>
  <c r="E25" i="2"/>
  <c r="F25" i="2"/>
  <c r="G25" i="2"/>
  <c r="H25" i="2"/>
  <c r="I25" i="2"/>
  <c r="J25" i="2"/>
  <c r="K25" i="2"/>
  <c r="L25" i="2"/>
  <c r="M25" i="2"/>
  <c r="B25" i="2"/>
  <c r="C8" i="1" l="1"/>
  <c r="D8" i="1"/>
  <c r="E8" i="1"/>
  <c r="F8" i="1"/>
  <c r="G8" i="1"/>
  <c r="H8" i="1"/>
  <c r="I8" i="1"/>
  <c r="J8" i="1"/>
  <c r="K8" i="1"/>
  <c r="L8" i="1"/>
  <c r="M8" i="1"/>
  <c r="B8" i="1"/>
  <c r="B11" i="1" s="1"/>
  <c r="B11" i="2"/>
  <c r="C11" i="2"/>
  <c r="C3" i="1" s="1"/>
  <c r="D11" i="2"/>
  <c r="D3" i="1" s="1"/>
  <c r="E11" i="2"/>
  <c r="E3" i="1" s="1"/>
  <c r="F11" i="2"/>
  <c r="F3" i="1" s="1"/>
  <c r="G11" i="2"/>
  <c r="G3" i="1" s="1"/>
  <c r="H11" i="2"/>
  <c r="H3" i="1" s="1"/>
  <c r="I11" i="2"/>
  <c r="I3" i="1" s="1"/>
  <c r="J11" i="2"/>
  <c r="J3" i="1" s="1"/>
  <c r="K11" i="2"/>
  <c r="K3" i="1" s="1"/>
  <c r="L11" i="2"/>
  <c r="L3" i="1" s="1"/>
  <c r="M11" i="2"/>
  <c r="M3" i="1" s="1"/>
  <c r="B34" i="2"/>
  <c r="C34" i="2"/>
  <c r="D34" i="2"/>
  <c r="E34" i="2"/>
  <c r="F34" i="2"/>
  <c r="G34" i="2"/>
  <c r="H34" i="2"/>
  <c r="I34" i="2"/>
  <c r="J34" i="2"/>
  <c r="K34" i="2"/>
  <c r="L34" i="2"/>
  <c r="M34" i="2"/>
  <c r="B39" i="2"/>
  <c r="C39" i="2"/>
  <c r="D39" i="2"/>
  <c r="E39" i="2"/>
  <c r="F39" i="2"/>
  <c r="G39" i="2"/>
  <c r="H39" i="2"/>
  <c r="I39" i="2"/>
  <c r="J39" i="2"/>
  <c r="K39" i="2"/>
  <c r="L39" i="2"/>
  <c r="M39" i="2"/>
  <c r="B46" i="2"/>
  <c r="C46" i="2"/>
  <c r="D46" i="2"/>
  <c r="E46" i="2"/>
  <c r="F46" i="2"/>
  <c r="G46" i="2"/>
  <c r="H46" i="2"/>
  <c r="I46" i="2"/>
  <c r="J46" i="2"/>
  <c r="K46" i="2"/>
  <c r="L46" i="2"/>
  <c r="M46" i="2"/>
  <c r="B49" i="2"/>
  <c r="C49" i="2"/>
  <c r="D49" i="2"/>
  <c r="E49" i="2"/>
  <c r="F49" i="2"/>
  <c r="G49" i="2"/>
  <c r="H49" i="2"/>
  <c r="I49" i="2"/>
  <c r="J49" i="2"/>
  <c r="K49" i="2"/>
  <c r="L49" i="2"/>
  <c r="M49" i="2"/>
  <c r="B53" i="2"/>
  <c r="C53" i="2"/>
  <c r="D53" i="2"/>
  <c r="E53" i="2"/>
  <c r="F53" i="2"/>
  <c r="G53" i="2"/>
  <c r="H53" i="2"/>
  <c r="I53" i="2"/>
  <c r="J53" i="2"/>
  <c r="K53" i="2"/>
  <c r="L53" i="2"/>
  <c r="M53" i="2"/>
  <c r="B71" i="2"/>
  <c r="C71" i="2"/>
  <c r="D71" i="2"/>
  <c r="E71" i="2"/>
  <c r="F71" i="2"/>
  <c r="G71" i="2"/>
  <c r="H71" i="2"/>
  <c r="H73" i="2" s="1"/>
  <c r="H6" i="1" s="1"/>
  <c r="I71" i="2"/>
  <c r="I73" i="2" s="1"/>
  <c r="I6" i="1" s="1"/>
  <c r="J71" i="2"/>
  <c r="K71" i="2"/>
  <c r="L71" i="2"/>
  <c r="M71" i="2"/>
  <c r="B83" i="2"/>
  <c r="C83" i="2"/>
  <c r="D83" i="2"/>
  <c r="E83" i="2"/>
  <c r="F83" i="2"/>
  <c r="G83" i="2"/>
  <c r="H83" i="2"/>
  <c r="I83" i="2"/>
  <c r="J83" i="2"/>
  <c r="K83" i="2"/>
  <c r="L83" i="2"/>
  <c r="M83" i="2"/>
  <c r="E27" i="2" l="1"/>
  <c r="L73" i="2"/>
  <c r="D73" i="2"/>
  <c r="D6" i="1" s="1"/>
  <c r="D27" i="2"/>
  <c r="F27" i="2"/>
  <c r="F28" i="2" s="1"/>
  <c r="K73" i="2"/>
  <c r="K6" i="1" s="1"/>
  <c r="C73" i="2"/>
  <c r="C6" i="1" s="1"/>
  <c r="G73" i="2"/>
  <c r="G6" i="1" s="1"/>
  <c r="M27" i="2"/>
  <c r="J73" i="2"/>
  <c r="J6" i="1" s="1"/>
  <c r="B73" i="2"/>
  <c r="B6" i="1" s="1"/>
  <c r="F73" i="2"/>
  <c r="F6" i="1" s="1"/>
  <c r="L27" i="2"/>
  <c r="C27" i="2"/>
  <c r="M73" i="2"/>
  <c r="E73" i="2"/>
  <c r="K27" i="2"/>
  <c r="H27" i="2"/>
  <c r="B27" i="2"/>
  <c r="B3" i="1"/>
  <c r="J27" i="2"/>
  <c r="I27" i="2"/>
  <c r="I28" i="2" s="1"/>
  <c r="G27" i="2"/>
  <c r="G28" i="2" s="1"/>
  <c r="F4" i="1"/>
  <c r="F5" i="1" s="1"/>
  <c r="C18" i="1"/>
  <c r="D18" i="1"/>
  <c r="E18" i="1"/>
  <c r="F18" i="1"/>
  <c r="G18" i="1"/>
  <c r="H18" i="1"/>
  <c r="I18" i="1"/>
  <c r="J18" i="1"/>
  <c r="K18" i="1"/>
  <c r="L18" i="1"/>
  <c r="M18" i="1"/>
  <c r="C11" i="1"/>
  <c r="D11" i="1"/>
  <c r="E11" i="1"/>
  <c r="F11" i="1"/>
  <c r="G11" i="1"/>
  <c r="H11" i="1"/>
  <c r="I11" i="1"/>
  <c r="J11" i="1"/>
  <c r="K11" i="1"/>
  <c r="L11" i="1"/>
  <c r="M11" i="1"/>
  <c r="B18" i="1"/>
  <c r="L75" i="2" l="1"/>
  <c r="F75" i="2"/>
  <c r="D75" i="2"/>
  <c r="H4" i="1"/>
  <c r="H5" i="1" s="1"/>
  <c r="H28" i="2"/>
  <c r="M4" i="1"/>
  <c r="M5" i="1" s="1"/>
  <c r="M28" i="2"/>
  <c r="K4" i="1"/>
  <c r="K5" i="1" s="1"/>
  <c r="K28" i="2"/>
  <c r="E4" i="1"/>
  <c r="E5" i="1" s="1"/>
  <c r="E28" i="2"/>
  <c r="J4" i="1"/>
  <c r="J5" i="1" s="1"/>
  <c r="J28" i="2"/>
  <c r="C4" i="1"/>
  <c r="C5" i="1" s="1"/>
  <c r="C28" i="2"/>
  <c r="L4" i="1"/>
  <c r="L5" i="1" s="1"/>
  <c r="L28" i="2"/>
  <c r="B4" i="1"/>
  <c r="B7" i="1" s="1"/>
  <c r="B12" i="1" s="1"/>
  <c r="B13" i="1" s="1"/>
  <c r="B28" i="2"/>
  <c r="D4" i="1"/>
  <c r="D28" i="2"/>
  <c r="E75" i="2"/>
  <c r="M75" i="2"/>
  <c r="H75" i="2"/>
  <c r="K75" i="2"/>
  <c r="G75" i="2"/>
  <c r="L6" i="1"/>
  <c r="M6" i="1"/>
  <c r="G4" i="1"/>
  <c r="G5" i="1" s="1"/>
  <c r="E6" i="1"/>
  <c r="E7" i="1" s="1"/>
  <c r="E12" i="1" s="1"/>
  <c r="E13" i="1" s="1"/>
  <c r="C75" i="2"/>
  <c r="B75" i="2"/>
  <c r="I75" i="2"/>
  <c r="I4" i="1"/>
  <c r="J75" i="2"/>
  <c r="F7" i="1"/>
  <c r="F12" i="1" s="1"/>
  <c r="B5" i="1" l="1"/>
  <c r="M85" i="2"/>
  <c r="M76" i="2"/>
  <c r="C85" i="2"/>
  <c r="C76" i="2"/>
  <c r="E85" i="2"/>
  <c r="E76" i="2"/>
  <c r="J85" i="2"/>
  <c r="J76" i="2"/>
  <c r="G85" i="2"/>
  <c r="G76" i="2"/>
  <c r="D85" i="2"/>
  <c r="D76" i="2"/>
  <c r="H85" i="2"/>
  <c r="H76" i="2"/>
  <c r="I85" i="2"/>
  <c r="I76" i="2"/>
  <c r="F85" i="2"/>
  <c r="F76" i="2"/>
  <c r="B85" i="2"/>
  <c r="B76" i="2"/>
  <c r="K85" i="2"/>
  <c r="K76" i="2"/>
  <c r="L85" i="2"/>
  <c r="L76" i="2"/>
  <c r="L7" i="1"/>
  <c r="L12" i="1" s="1"/>
  <c r="L13" i="1" s="1"/>
  <c r="J7" i="1"/>
  <c r="J12" i="1" s="1"/>
  <c r="J13" i="1" s="1"/>
  <c r="K7" i="1"/>
  <c r="K12" i="1" s="1"/>
  <c r="K13" i="1" s="1"/>
  <c r="B19" i="1"/>
  <c r="B21" i="1" s="1"/>
  <c r="D7" i="1"/>
  <c r="D12" i="1" s="1"/>
  <c r="D13" i="1" s="1"/>
  <c r="D5" i="1"/>
  <c r="H7" i="1"/>
  <c r="H12" i="1" s="1"/>
  <c r="H19" i="1" s="1"/>
  <c r="H21" i="1" s="1"/>
  <c r="C7" i="1"/>
  <c r="C12" i="1" s="1"/>
  <c r="C13" i="1" s="1"/>
  <c r="M7" i="1"/>
  <c r="M12" i="1" s="1"/>
  <c r="M13" i="1" s="1"/>
  <c r="G7" i="1"/>
  <c r="G12" i="1" s="1"/>
  <c r="G19" i="1" s="1"/>
  <c r="G21" i="1" s="1"/>
  <c r="E19" i="1"/>
  <c r="E21" i="1" s="1"/>
  <c r="F19" i="1"/>
  <c r="F21" i="1" s="1"/>
  <c r="F13" i="1"/>
  <c r="I7" i="1"/>
  <c r="I12" i="1" s="1"/>
  <c r="I13" i="1" s="1"/>
  <c r="I5" i="1"/>
  <c r="J19" i="1" l="1"/>
  <c r="J21" i="1" s="1"/>
  <c r="L19" i="1"/>
  <c r="L21" i="1" s="1"/>
  <c r="K19" i="1"/>
  <c r="K21" i="1" s="1"/>
  <c r="M19" i="1"/>
  <c r="M21" i="1" s="1"/>
  <c r="C19" i="1"/>
  <c r="C21" i="1" s="1"/>
  <c r="H13" i="1"/>
  <c r="D19" i="1"/>
  <c r="D21" i="1" s="1"/>
  <c r="G13" i="1"/>
  <c r="I19" i="1"/>
  <c r="I21" i="1" s="1"/>
</calcChain>
</file>

<file path=xl/sharedStrings.xml><?xml version="1.0" encoding="utf-8"?>
<sst xmlns="http://schemas.openxmlformats.org/spreadsheetml/2006/main" count="143" uniqueCount="124">
  <si>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</si>
  <si>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</si>
  <si>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</si>
  <si>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</si>
  <si>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</si>
  <si>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</si>
  <si>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</si>
  <si>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</si>
  <si>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</si>
  <si>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</si>
  <si>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</si>
  <si>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</si>
  <si>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Revenue</t>
  </si>
  <si>
    <t>Gross Profit:Revenue</t>
  </si>
  <si>
    <t>Total Expenses</t>
  </si>
  <si>
    <t>Net Operating Income</t>
  </si>
  <si>
    <t>Interest Expense</t>
  </si>
  <si>
    <t>Net Income</t>
  </si>
  <si>
    <t>Other Cash Outflow</t>
  </si>
  <si>
    <t>Total Other Cash Outflow</t>
  </si>
  <si>
    <t>CashFlow</t>
  </si>
  <si>
    <t>Free Cashflow</t>
  </si>
  <si>
    <t>Total Other Expenses</t>
  </si>
  <si>
    <t>Key</t>
  </si>
  <si>
    <t>5. This is only listing the Principal of the SBA loan.  Interest is pulled from the P&amp;L statement and is included in the Interest Expense section above</t>
  </si>
  <si>
    <t>6. If you have outside investors, the principal payment to these investors would be included here</t>
  </si>
  <si>
    <t>7. If there is still cashflow remaining when all expenses are paid and you choose to distribute funds to the owner group, this would be included here</t>
  </si>
  <si>
    <r>
      <t>Gross Profit</t>
    </r>
    <r>
      <rPr>
        <vertAlign val="superscript"/>
        <sz val="11"/>
        <color theme="1"/>
        <rFont val="Calibri"/>
        <family val="2"/>
        <scheme val="minor"/>
      </rPr>
      <t>1</t>
    </r>
  </si>
  <si>
    <r>
      <t>Holding Co Operating Expenses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</si>
  <si>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Holding Co Salaries</t>
    </r>
    <r>
      <rPr>
        <vertAlign val="superscript"/>
        <sz val="11"/>
        <color theme="1"/>
        <rFont val="Calibri"/>
        <family val="2"/>
        <scheme val="minor"/>
      </rPr>
      <t>2</t>
    </r>
  </si>
  <si>
    <r>
      <t>Net Income:Revenue</t>
    </r>
    <r>
      <rPr>
        <vertAlign val="superscript"/>
        <sz val="11"/>
        <color theme="1"/>
        <rFont val="Calibri"/>
        <family val="2"/>
        <scheme val="minor"/>
      </rPr>
      <t>4</t>
    </r>
  </si>
  <si>
    <r>
      <t>SBA Loan Principal</t>
    </r>
    <r>
      <rPr>
        <vertAlign val="superscript"/>
        <sz val="11"/>
        <color theme="1"/>
        <rFont val="Calibri"/>
        <family val="2"/>
        <scheme val="minor"/>
      </rPr>
      <t>5</t>
    </r>
  </si>
  <si>
    <r>
      <t>Investor Principal</t>
    </r>
    <r>
      <rPr>
        <vertAlign val="superscript"/>
        <sz val="11"/>
        <color theme="1"/>
        <rFont val="Calibri"/>
        <family val="2"/>
        <scheme val="minor"/>
      </rPr>
      <t>6</t>
    </r>
  </si>
  <si>
    <r>
      <t>Owner Distribution</t>
    </r>
    <r>
      <rPr>
        <vertAlign val="superscript"/>
        <sz val="11"/>
        <color theme="1"/>
        <rFont val="Calibri"/>
        <family val="2"/>
        <scheme val="minor"/>
      </rPr>
      <t>7</t>
    </r>
  </si>
  <si>
    <t>1. Including the Gross Profit to Revenue is optional, but recommended.  It is calculated by taking the Gross Profit and dividing it by the Revenue</t>
  </si>
  <si>
    <t>2. Holding Co Salaries - salary that is paid out for your holding company specifically. Where the owner's salary would be placed</t>
  </si>
  <si>
    <t>4. Looking at the ratio of Net Income to Revenue is optional, but recommended.  This is calculation by taking the Net Income and dividing it by the Revenue</t>
  </si>
  <si>
    <t>14. Only interest expense is included if you have an SBA loan or another loan for your business.  Principal for the loan would not be included in the P&amp;L</t>
  </si>
  <si>
    <t>13. Taxes - if you were to owe any taxes following your filing.  Licenses would be filings done through the state such as LLC filings</t>
  </si>
  <si>
    <t>12. If you purchase additional equipment for your club, those expenses would be placed here</t>
  </si>
  <si>
    <t>11. Loan fees - fees outside of the interest and principal.  Examples include application, processing, origination, closing annual, late, overdraft, NSF and prepayment fees to name a few.</t>
  </si>
  <si>
    <t>10. Dues/Subscriptions - includes things like magazines and subscriptions/dues to different industry organizations if applicable</t>
  </si>
  <si>
    <t>9. Franchise and Software Fee expenses - fixed amounts charged by Anytime Fitness Corporate</t>
  </si>
  <si>
    <t>7. General Ad Fund - fixed amount that Anytime Fitness Corporate collects for advertising</t>
  </si>
  <si>
    <t>6. If you are spending money on Indeed, ZipRecruiter, or a similar platform for recruiting employees, those expenses would be placed in this section</t>
  </si>
  <si>
    <t>5. Training/Development - investment back into staff.  This would include contributions to a PT certification, an Excel course or another business or fitness related course. Would also include purchase of books for staff to read</t>
  </si>
  <si>
    <t>4. Processing Fees - any other fees that ABC charges to process payments</t>
  </si>
  <si>
    <t>3. Examples of Administrative Fees are if you decide to get multiple deposits from ABC Financial instead of just the twice per month that is the default</t>
  </si>
  <si>
    <t>2. Consumables - cost of good/services such as apparel, supplements, vending.  Anything that is being "consumed" by a buyer</t>
  </si>
  <si>
    <t>1. Ancillary Sales - apparel, supplements, tanning, etc</t>
  </si>
  <si>
    <t>Key:</t>
  </si>
  <si>
    <t>Donations</t>
  </si>
  <si>
    <r>
      <t>Interest Expense</t>
    </r>
    <r>
      <rPr>
        <vertAlign val="superscript"/>
        <sz val="11"/>
        <color theme="1"/>
        <rFont val="Calibri"/>
        <family val="2"/>
        <scheme val="minor"/>
      </rPr>
      <t>14</t>
    </r>
  </si>
  <si>
    <r>
      <t>Taxes &amp; Licenses</t>
    </r>
    <r>
      <rPr>
        <vertAlign val="superscript"/>
        <sz val="11"/>
        <color theme="1"/>
        <rFont val="Calibri"/>
        <family val="2"/>
        <scheme val="minor"/>
      </rPr>
      <t>13</t>
    </r>
  </si>
  <si>
    <t>Total Other Income</t>
  </si>
  <si>
    <t>Total General and Admin</t>
  </si>
  <si>
    <r>
      <t>Gym Equipment Expense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</si>
  <si>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Loan Fees</t>
    </r>
    <r>
      <rPr>
        <vertAlign val="superscript"/>
        <sz val="11"/>
        <color theme="1"/>
        <rFont val="Calibri"/>
        <family val="2"/>
        <scheme val="minor"/>
      </rPr>
      <t>11</t>
    </r>
  </si>
  <si>
    <t>Postage/Shipping</t>
  </si>
  <si>
    <t>Printing/Stationary</t>
  </si>
  <si>
    <t>Office Supplies</t>
  </si>
  <si>
    <t>Cleaning Supplies</t>
  </si>
  <si>
    <t>Cable/TV/Internet Service</t>
  </si>
  <si>
    <t>Telephone Expense</t>
  </si>
  <si>
    <t>Accounting Fees</t>
  </si>
  <si>
    <t>Legal Fees</t>
  </si>
  <si>
    <r>
      <t>Dues/Subscriptions</t>
    </r>
    <r>
      <rPr>
        <vertAlign val="superscript"/>
        <sz val="11"/>
        <color theme="1"/>
        <rFont val="Calibri"/>
        <family val="2"/>
        <scheme val="minor"/>
      </rPr>
      <t>10</t>
    </r>
  </si>
  <si>
    <t>Bank Service Charges</t>
  </si>
  <si>
    <t>Uniforms</t>
  </si>
  <si>
    <t>Club Supplies (not for resale)</t>
  </si>
  <si>
    <r>
      <t>Software Fees</t>
    </r>
    <r>
      <rPr>
        <vertAlign val="superscript"/>
        <sz val="11"/>
        <color theme="1"/>
        <rFont val="Calibri"/>
        <family val="2"/>
        <scheme val="minor"/>
      </rPr>
      <t>9</t>
    </r>
  </si>
  <si>
    <r>
      <t>Franchise Fee Expense</t>
    </r>
    <r>
      <rPr>
        <vertAlign val="superscript"/>
        <sz val="11"/>
        <color theme="1"/>
        <rFont val="Calibri"/>
        <family val="2"/>
        <scheme val="minor"/>
      </rPr>
      <t>9</t>
    </r>
  </si>
  <si>
    <t>Total Marketing</t>
  </si>
  <si>
    <r>
      <t>Advertising and Promotion</t>
    </r>
    <r>
      <rPr>
        <vertAlign val="superscript"/>
        <sz val="11"/>
        <color theme="1"/>
        <rFont val="Calibri"/>
        <family val="2"/>
        <scheme val="minor"/>
      </rPr>
      <t>8</t>
    </r>
  </si>
  <si>
    <r>
      <t>General Ad Fund</t>
    </r>
    <r>
      <rPr>
        <vertAlign val="superscript"/>
        <sz val="11"/>
        <color theme="1"/>
        <rFont val="Calibri"/>
        <family val="2"/>
        <scheme val="minor"/>
      </rPr>
      <t>7</t>
    </r>
  </si>
  <si>
    <t>Total Insurance</t>
  </si>
  <si>
    <t>General Liability Insurance</t>
  </si>
  <si>
    <t>Total Facility</t>
  </si>
  <si>
    <t>Water</t>
  </si>
  <si>
    <t>Repairs and Maintenance</t>
  </si>
  <si>
    <t>Cleaning/Janitorial</t>
  </si>
  <si>
    <t>Electric</t>
  </si>
  <si>
    <t>Rent Expense</t>
  </si>
  <si>
    <t>Total Personnel (Other Costs)</t>
  </si>
  <si>
    <r>
      <t>Employee Recruiting</t>
    </r>
    <r>
      <rPr>
        <vertAlign val="superscript"/>
        <sz val="11"/>
        <color theme="1"/>
        <rFont val="Calibri"/>
        <family val="2"/>
        <scheme val="minor"/>
      </rPr>
      <t>6</t>
    </r>
  </si>
  <si>
    <t>Employer Taxes</t>
  </si>
  <si>
    <r>
      <t>Training/Development</t>
    </r>
    <r>
      <rPr>
        <vertAlign val="superscript"/>
        <sz val="11"/>
        <color theme="1"/>
        <rFont val="Calibri"/>
        <family val="2"/>
        <scheme val="minor"/>
      </rPr>
      <t>5</t>
    </r>
  </si>
  <si>
    <t>Total Personnel</t>
  </si>
  <si>
    <t>Bonuses</t>
  </si>
  <si>
    <t>Commissions</t>
  </si>
  <si>
    <t>Management Salary</t>
  </si>
  <si>
    <t>Gross Profit</t>
  </si>
  <si>
    <t>Total Cost of Goods/Services</t>
  </si>
  <si>
    <t>Freight &amp; Shipping</t>
  </si>
  <si>
    <t>Key Fobs Expense</t>
  </si>
  <si>
    <r>
      <t>Processing Fees</t>
    </r>
    <r>
      <rPr>
        <vertAlign val="superscript"/>
        <sz val="11"/>
        <color theme="1"/>
        <rFont val="Calibri"/>
        <family val="2"/>
        <scheme val="minor"/>
      </rPr>
      <t>4</t>
    </r>
  </si>
  <si>
    <t>Contract Storage Fee</t>
  </si>
  <si>
    <t>Credit Card Pass Through Fees</t>
  </si>
  <si>
    <r>
      <t>Administrative Fees</t>
    </r>
    <r>
      <rPr>
        <vertAlign val="superscript"/>
        <sz val="11"/>
        <color theme="1"/>
        <rFont val="Calibri"/>
        <family val="2"/>
        <scheme val="minor"/>
      </rPr>
      <t>3</t>
    </r>
  </si>
  <si>
    <t>Healthy Contributions Fees</t>
  </si>
  <si>
    <t>Merchant Service Fees</t>
  </si>
  <si>
    <r>
      <t>Consumables Cost</t>
    </r>
    <r>
      <rPr>
        <vertAlign val="superscript"/>
        <sz val="11"/>
        <color theme="1"/>
        <rFont val="Calibri"/>
        <family val="2"/>
        <scheme val="minor"/>
      </rPr>
      <t>2</t>
    </r>
  </si>
  <si>
    <t>Vending</t>
  </si>
  <si>
    <t>Other Misc Sales</t>
  </si>
  <si>
    <r>
      <t>Ancillary Sales</t>
    </r>
    <r>
      <rPr>
        <vertAlign val="superscript"/>
        <sz val="11"/>
        <color theme="1"/>
        <rFont val="Calibri"/>
        <family val="2"/>
        <scheme val="minor"/>
      </rPr>
      <t>1</t>
    </r>
  </si>
  <si>
    <t>Reimbursements</t>
  </si>
  <si>
    <t>Refunds</t>
  </si>
  <si>
    <t>Personal Training</t>
  </si>
  <si>
    <t>Healthy Contributions Income</t>
  </si>
  <si>
    <t>Enhancement Fees</t>
  </si>
  <si>
    <t>Dues - Monthly Membership</t>
  </si>
  <si>
    <t>Input</t>
  </si>
  <si>
    <t>Linked Cell</t>
  </si>
  <si>
    <t>Calculated Cell</t>
  </si>
  <si>
    <t>Gross Proft %</t>
  </si>
  <si>
    <t>Net Income Margin %</t>
  </si>
  <si>
    <t xml:space="preserve">3. Holding Co Operating Expenses - expenses that correspond specifically to the holding company, but not necessarily the Anytime Fitness Club.  </t>
  </si>
  <si>
    <t xml:space="preserve">       An assistant or health insurance would be examples included here</t>
  </si>
  <si>
    <t>Other Salaries/Wages</t>
  </si>
  <si>
    <t>Training Dept Bonus</t>
  </si>
  <si>
    <t>Training Dept Commissions</t>
  </si>
  <si>
    <t>Training Dept Salary/Wages</t>
  </si>
  <si>
    <t>8. Advertising and Promotions - spend outside of the General Ad Fund - for more information on the required spend, reference the Resource Center and FDD. For marketing ideas for this category, contact your FBC.</t>
  </si>
  <si>
    <t>Insert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</si>
</sst>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2" borderId="4" applyNumberFormat="0" applyAlignment="0" applyProtection="0"/>
    <xf numFmtId="0" fontId="6" fillId="3" borderId="4" applyNumberFormat="0" applyAlignment="0" applyProtection="0"/>
    <xf numFmtId="0" fontId="7" fillId="0" borderId="5" applyNumberFormat="0" applyFill="0" applyAlignment="0" applyProtection="0"/>
  </cellStyleXfs>
  <cellXfs count="39">
    <xf numFmtId="0" fontId="0" fillId="0" borderId="0" xfId="0"/>
    <xf numFmtId="0" fontId="0" fillId="0" borderId="1" xfId="0" applyBorder="1"/>
    <xf numFmtId="0" fontId="0" fillId="0" borderId="0" xfId="0" applyFill="1"/>
    <xf numFmtId="0" fontId="2" fillId="0" borderId="0" xfId="0" applyFont="1"/>
    <xf numFmtId="44" fontId="5" fillId="2" borderId="4" xfId="2" applyNumberFormat="1"/>
    <xf numFmtId="0" fontId="0" fillId="0" borderId="1" xfId="0" applyFill="1" applyBorder="1"/>
    <xf numFmtId="0" fontId="8" fillId="4" borderId="1" xfId="0" applyFont="1" applyFill="1" applyBorder="1" applyAlignment="1">
      <alignment horizontal="center"/>
    </xf>
    <xf numFmtId="44" fontId="7" fillId="0" borderId="5" xfId="4" applyNumberFormat="1" applyFill="1"/>
    <xf numFmtId="44" fontId="7" fillId="0" borderId="5" xfId="4" applyNumberFormat="1"/>
    <xf numFmtId="9" fontId="6" fillId="3" borderId="4" xfId="3" applyNumberFormat="1"/>
    <xf numFmtId="44" fontId="6" fillId="3" borderId="4" xfId="3" applyNumberFormat="1"/>
    <xf numFmtId="0" fontId="0" fillId="0" borderId="2" xfId="0" applyFill="1" applyBorder="1"/>
    <xf numFmtId="9" fontId="6" fillId="3" borderId="6" xfId="3" applyNumberFormat="1" applyBorder="1"/>
    <xf numFmtId="44" fontId="5" fillId="2" borderId="7" xfId="2" applyNumberFormat="1" applyBorder="1"/>
    <xf numFmtId="0" fontId="0" fillId="0" borderId="0" xfId="0" applyFill="1" applyBorder="1"/>
    <xf numFmtId="0" fontId="8" fillId="5" borderId="2" xfId="0" applyFont="1" applyFill="1" applyBorder="1"/>
    <xf numFmtId="0" fontId="8" fillId="5" borderId="0" xfId="0" applyFont="1" applyFill="1" applyBorder="1"/>
    <xf numFmtId="0" fontId="0" fillId="0" borderId="0" xfId="0" applyBorder="1"/>
    <xf numFmtId="0" fontId="8" fillId="5" borderId="3" xfId="0" applyFont="1" applyFill="1" applyBorder="1"/>
    <xf numFmtId="0" fontId="9" fillId="6" borderId="3" xfId="0" applyFont="1" applyFill="1" applyBorder="1"/>
    <xf numFmtId="0" fontId="9" fillId="5" borderId="3" xfId="0" applyFont="1" applyFill="1" applyBorder="1"/>
    <xf numFmtId="43" fontId="5" fillId="2" borderId="4" xfId="1" applyFont="1" applyFill="1" applyBorder="1"/>
    <xf numFmtId="43" fontId="0" fillId="0" borderId="0" xfId="1" applyFont="1"/>
    <xf numFmtId="43" fontId="0" fillId="5" borderId="3" xfId="1" applyFont="1" applyFill="1" applyBorder="1"/>
    <xf numFmtId="43" fontId="10" fillId="5" borderId="3" xfId="1" applyFont="1" applyFill="1" applyBorder="1"/>
    <xf numFmtId="0" fontId="11" fillId="5" borderId="0" xfId="0" applyFont="1" applyFill="1" applyBorder="1"/>
    <xf numFmtId="43" fontId="12" fillId="5" borderId="0" xfId="1" applyFont="1" applyFill="1" applyBorder="1"/>
    <xf numFmtId="0" fontId="12" fillId="0" borderId="0" xfId="0" applyFont="1"/>
    <xf numFmtId="43" fontId="6" fillId="3" borderId="4" xfId="3" applyNumberFormat="1"/>
    <xf numFmtId="0" fontId="2" fillId="0" borderId="0" xfId="0" applyFont="1" applyBorder="1"/>
    <xf numFmtId="0" fontId="0" fillId="0" borderId="0" xfId="0" applyBorder="1" applyAlignment="1"/>
    <xf numFmtId="0" fontId="0" fillId="0" borderId="0" xfId="0" applyBorder="1" applyAlignment="1">
      <alignment wrapText="1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left" vertical="top" wrapText="1"/>
    </xf>
    <xf numFmtId="0" fontId="5" fillId="2" borderId="0" xfId="2" applyBorder="1" applyAlignment="1">
      <alignment horizontal="center"/>
    </xf>
    <xf numFmtId="0" fontId="7" fillId="3" borderId="5" xfId="4" applyFill="1" applyAlignment="1">
      <alignment horizontal="center"/>
    </xf>
    <xf numFmtId="0" fontId="6" fillId="3" borderId="0" xfId="3" applyBorder="1" applyAlignment="1">
      <alignment horizontal="center"/>
    </xf>
    <xf numFmtId="0" fontId="13" fillId="4" borderId="1" xfId="0" applyFont="1" applyFill="1" applyBorder="1" applyAlignment="1">
      <alignment horizontal="center"/>
    </xf>
  </cellXfs>
  <cellStyles count="5">
    <cellStyle name="Calculation" xfId="3" builtinId="22"/>
    <cellStyle name="Comma" xfId="1" builtinId="3"/>
    <cellStyle name="Input" xfId="2" builtinId="20"/>
    <cellStyle name="Linked Cell" xfId="4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3324-E196-4126-84A5-A05C85B8B128}">
  <dimension ref="A1:U105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34" sqref="P34"/>
    </sheetView>
  </sheetViews>
  <sheetFormatPr defaultRowHeight="15" outlineLevelRow="1" x14ac:dyDescent="0.25"/>
  <cols>
    <col min="1" max="1" width="29.7109375" bestFit="1" customWidth="1"/>
    <col min="10" max="10" width="10.85546875" bestFit="1" customWidth="1"/>
    <col min="11" max="11" width="8.140625" bestFit="1" customWidth="1"/>
    <col min="12" max="12" width="10.42578125" bestFit="1" customWidth="1"/>
    <col min="13" max="13" width="10.140625" bestFit="1" customWidth="1"/>
  </cols>
  <sheetData>
    <row r="1" spans="1:13" x14ac:dyDescent="0.25">
      <c r="A1" s="38" t="s">
        <v>123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</row>
    <row r="2" spans="1:13" outlineLevel="1" x14ac:dyDescent="0.25">
      <c r="A2" t="s">
        <v>110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outlineLevel="1" x14ac:dyDescent="0.25">
      <c r="A3" t="s">
        <v>109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outlineLevel="1" x14ac:dyDescent="0.25">
      <c r="A4" t="s">
        <v>108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outlineLevel="1" x14ac:dyDescent="0.25">
      <c r="A5" t="s">
        <v>107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3" outlineLevel="1" x14ac:dyDescent="0.25">
      <c r="A6" t="s">
        <v>106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3" outlineLevel="1" x14ac:dyDescent="0.25">
      <c r="A7" t="s">
        <v>105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3" ht="17.25" outlineLevel="1" x14ac:dyDescent="0.25">
      <c r="A8" t="s">
        <v>104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1:13" outlineLevel="1" x14ac:dyDescent="0.25">
      <c r="A9" t="s">
        <v>103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outlineLevel="1" x14ac:dyDescent="0.25">
      <c r="A10" t="s">
        <v>102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3" x14ac:dyDescent="0.25">
      <c r="A11" s="19" t="s">
        <v>12</v>
      </c>
      <c r="B11" s="28">
        <f t="shared" ref="B11:M11" si="0">SUM(B2:B10)</f>
        <v>0</v>
      </c>
      <c r="C11" s="28">
        <f t="shared" si="0"/>
        <v>0</v>
      </c>
      <c r="D11" s="28">
        <f t="shared" si="0"/>
        <v>0</v>
      </c>
      <c r="E11" s="28">
        <f t="shared" si="0"/>
        <v>0</v>
      </c>
      <c r="F11" s="28">
        <f t="shared" si="0"/>
        <v>0</v>
      </c>
      <c r="G11" s="28">
        <f t="shared" si="0"/>
        <v>0</v>
      </c>
      <c r="H11" s="28">
        <f t="shared" si="0"/>
        <v>0</v>
      </c>
      <c r="I11" s="28">
        <f t="shared" si="0"/>
        <v>0</v>
      </c>
      <c r="J11" s="28">
        <f t="shared" si="0"/>
        <v>0</v>
      </c>
      <c r="K11" s="28">
        <f t="shared" si="0"/>
        <v>0</v>
      </c>
      <c r="L11" s="28">
        <f t="shared" si="0"/>
        <v>0</v>
      </c>
      <c r="M11" s="28">
        <f t="shared" si="0"/>
        <v>0</v>
      </c>
    </row>
    <row r="12" spans="1:13" x14ac:dyDescent="0.25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3" ht="17.25" outlineLevel="1" x14ac:dyDescent="0.25">
      <c r="A13" t="s">
        <v>101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 outlineLevel="1" x14ac:dyDescent="0.25">
      <c r="A14" t="s">
        <v>100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outlineLevel="1" x14ac:dyDescent="0.25">
      <c r="A15" t="s">
        <v>99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3" ht="17.25" outlineLevel="1" x14ac:dyDescent="0.25">
      <c r="A16" t="s">
        <v>98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 outlineLevel="1" x14ac:dyDescent="0.25">
      <c r="A17" t="s">
        <v>97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 outlineLevel="1" x14ac:dyDescent="0.25">
      <c r="A18" t="s">
        <v>96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spans="1:13" ht="17.25" outlineLevel="1" x14ac:dyDescent="0.25">
      <c r="A19" t="s">
        <v>95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spans="1:13" outlineLevel="1" x14ac:dyDescent="0.25">
      <c r="A20" t="s">
        <v>94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</row>
    <row r="21" spans="1:13" outlineLevel="1" x14ac:dyDescent="0.25">
      <c r="A21" t="s">
        <v>93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spans="1:13" outlineLevel="1" x14ac:dyDescent="0.25">
      <c r="A22" t="s">
        <v>121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outlineLevel="1" x14ac:dyDescent="0.25">
      <c r="A23" t="s">
        <v>119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spans="1:13" outlineLevel="1" x14ac:dyDescent="0.25">
      <c r="A24" t="s">
        <v>120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1:13" x14ac:dyDescent="0.25">
      <c r="A25" s="19" t="s">
        <v>92</v>
      </c>
      <c r="B25" s="28">
        <f>SUM(B13:B24)</f>
        <v>0</v>
      </c>
      <c r="C25" s="28">
        <f t="shared" ref="C25:M25" si="1">SUM(C13:C24)</f>
        <v>0</v>
      </c>
      <c r="D25" s="28">
        <f t="shared" si="1"/>
        <v>0</v>
      </c>
      <c r="E25" s="28">
        <f t="shared" si="1"/>
        <v>0</v>
      </c>
      <c r="F25" s="28">
        <f t="shared" si="1"/>
        <v>0</v>
      </c>
      <c r="G25" s="28">
        <f t="shared" si="1"/>
        <v>0</v>
      </c>
      <c r="H25" s="28">
        <f t="shared" si="1"/>
        <v>0</v>
      </c>
      <c r="I25" s="28">
        <f t="shared" si="1"/>
        <v>0</v>
      </c>
      <c r="J25" s="28">
        <f t="shared" si="1"/>
        <v>0</v>
      </c>
      <c r="K25" s="28">
        <f t="shared" si="1"/>
        <v>0</v>
      </c>
      <c r="L25" s="28">
        <f t="shared" si="1"/>
        <v>0</v>
      </c>
      <c r="M25" s="28">
        <f t="shared" si="1"/>
        <v>0</v>
      </c>
    </row>
    <row r="26" spans="1:13" x14ac:dyDescent="0.25"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collapsed="1" x14ac:dyDescent="0.25">
      <c r="A27" s="18" t="s">
        <v>91</v>
      </c>
      <c r="B27" s="23">
        <f t="shared" ref="B27:M27" si="2">B11-B25</f>
        <v>0</v>
      </c>
      <c r="C27" s="23">
        <f t="shared" si="2"/>
        <v>0</v>
      </c>
      <c r="D27" s="23">
        <f t="shared" si="2"/>
        <v>0</v>
      </c>
      <c r="E27" s="23">
        <f t="shared" si="2"/>
        <v>0</v>
      </c>
      <c r="F27" s="23">
        <f t="shared" si="2"/>
        <v>0</v>
      </c>
      <c r="G27" s="23">
        <f t="shared" si="2"/>
        <v>0</v>
      </c>
      <c r="H27" s="23">
        <f t="shared" si="2"/>
        <v>0</v>
      </c>
      <c r="I27" s="23">
        <f t="shared" si="2"/>
        <v>0</v>
      </c>
      <c r="J27" s="23">
        <f t="shared" si="2"/>
        <v>0</v>
      </c>
      <c r="K27" s="23">
        <f t="shared" si="2"/>
        <v>0</v>
      </c>
      <c r="L27" s="23">
        <f t="shared" si="2"/>
        <v>0</v>
      </c>
      <c r="M27" s="23">
        <f t="shared" si="2"/>
        <v>0</v>
      </c>
    </row>
    <row r="28" spans="1:13" s="27" customFormat="1" ht="11.25" x14ac:dyDescent="0.2">
      <c r="A28" s="25" t="s">
        <v>114</v>
      </c>
      <c r="B28" s="26" t="e">
        <f t="shared" ref="B28:M28" si="3">B27/B11</f>
        <v>#DIV/0!</v>
      </c>
      <c r="C28" s="26" t="e">
        <f t="shared" si="3"/>
        <v>#DIV/0!</v>
      </c>
      <c r="D28" s="26" t="e">
        <f t="shared" si="3"/>
        <v>#DIV/0!</v>
      </c>
      <c r="E28" s="26" t="e">
        <f t="shared" si="3"/>
        <v>#DIV/0!</v>
      </c>
      <c r="F28" s="26" t="e">
        <f t="shared" si="3"/>
        <v>#DIV/0!</v>
      </c>
      <c r="G28" s="26" t="e">
        <f t="shared" si="3"/>
        <v>#DIV/0!</v>
      </c>
      <c r="H28" s="26" t="e">
        <f t="shared" si="3"/>
        <v>#DIV/0!</v>
      </c>
      <c r="I28" s="26" t="e">
        <f t="shared" si="3"/>
        <v>#DIV/0!</v>
      </c>
      <c r="J28" s="26" t="e">
        <f t="shared" si="3"/>
        <v>#DIV/0!</v>
      </c>
      <c r="K28" s="26" t="e">
        <f t="shared" si="3"/>
        <v>#DIV/0!</v>
      </c>
      <c r="L28" s="26" t="e">
        <f t="shared" si="3"/>
        <v>#DIV/0!</v>
      </c>
      <c r="M28" s="26" t="e">
        <f t="shared" si="3"/>
        <v>#DIV/0!</v>
      </c>
    </row>
    <row r="29" spans="1:13" x14ac:dyDescent="0.25"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outlineLevel="1" x14ac:dyDescent="0.25">
      <c r="A30" t="s">
        <v>90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 outlineLevel="1" x14ac:dyDescent="0.25">
      <c r="A31" t="s">
        <v>118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 outlineLevel="1" x14ac:dyDescent="0.25">
      <c r="A32" t="s">
        <v>89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3" outlineLevel="1" x14ac:dyDescent="0.25">
      <c r="A33" t="s">
        <v>88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1:13" x14ac:dyDescent="0.25">
      <c r="A34" s="19" t="s">
        <v>87</v>
      </c>
      <c r="B34" s="28">
        <f t="shared" ref="B34:M34" si="4">SUM(B30:B33)</f>
        <v>0</v>
      </c>
      <c r="C34" s="28">
        <f t="shared" si="4"/>
        <v>0</v>
      </c>
      <c r="D34" s="28">
        <f t="shared" si="4"/>
        <v>0</v>
      </c>
      <c r="E34" s="28">
        <f t="shared" si="4"/>
        <v>0</v>
      </c>
      <c r="F34" s="28">
        <f t="shared" si="4"/>
        <v>0</v>
      </c>
      <c r="G34" s="28">
        <f t="shared" si="4"/>
        <v>0</v>
      </c>
      <c r="H34" s="28">
        <f t="shared" si="4"/>
        <v>0</v>
      </c>
      <c r="I34" s="28">
        <f t="shared" si="4"/>
        <v>0</v>
      </c>
      <c r="J34" s="28">
        <f t="shared" si="4"/>
        <v>0</v>
      </c>
      <c r="K34" s="28">
        <f t="shared" si="4"/>
        <v>0</v>
      </c>
      <c r="L34" s="28">
        <f t="shared" si="4"/>
        <v>0</v>
      </c>
      <c r="M34" s="28">
        <f t="shared" si="4"/>
        <v>0</v>
      </c>
    </row>
    <row r="35" spans="1:13" x14ac:dyDescent="0.25"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</row>
    <row r="36" spans="1:13" ht="17.25" outlineLevel="1" x14ac:dyDescent="0.25">
      <c r="A36" t="s">
        <v>86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3" outlineLevel="1" x14ac:dyDescent="0.25">
      <c r="A37" t="s">
        <v>85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3" ht="17.25" outlineLevel="1" x14ac:dyDescent="0.25">
      <c r="A38" t="s">
        <v>84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1:13" x14ac:dyDescent="0.25">
      <c r="A39" s="19" t="s">
        <v>83</v>
      </c>
      <c r="B39" s="28">
        <f t="shared" ref="B39:M39" si="5">SUM(B36:B38)</f>
        <v>0</v>
      </c>
      <c r="C39" s="28">
        <f t="shared" si="5"/>
        <v>0</v>
      </c>
      <c r="D39" s="28">
        <f t="shared" si="5"/>
        <v>0</v>
      </c>
      <c r="E39" s="28">
        <f t="shared" si="5"/>
        <v>0</v>
      </c>
      <c r="F39" s="28">
        <f t="shared" si="5"/>
        <v>0</v>
      </c>
      <c r="G39" s="28">
        <f t="shared" si="5"/>
        <v>0</v>
      </c>
      <c r="H39" s="28">
        <f t="shared" si="5"/>
        <v>0</v>
      </c>
      <c r="I39" s="28">
        <f t="shared" si="5"/>
        <v>0</v>
      </c>
      <c r="J39" s="28">
        <f t="shared" si="5"/>
        <v>0</v>
      </c>
      <c r="K39" s="28">
        <f t="shared" si="5"/>
        <v>0</v>
      </c>
      <c r="L39" s="28">
        <f t="shared" si="5"/>
        <v>0</v>
      </c>
      <c r="M39" s="28">
        <f t="shared" si="5"/>
        <v>0</v>
      </c>
    </row>
    <row r="40" spans="1:13" x14ac:dyDescent="0.25"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</row>
    <row r="41" spans="1:13" outlineLevel="1" x14ac:dyDescent="0.25">
      <c r="A41" t="s">
        <v>82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 spans="1:13" outlineLevel="1" x14ac:dyDescent="0.25">
      <c r="A42" t="s">
        <v>81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</row>
    <row r="43" spans="1:13" outlineLevel="1" x14ac:dyDescent="0.25">
      <c r="A43" t="s">
        <v>80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</row>
    <row r="44" spans="1:13" outlineLevel="1" x14ac:dyDescent="0.25">
      <c r="A44" t="s">
        <v>79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</row>
    <row r="45" spans="1:13" outlineLevel="1" x14ac:dyDescent="0.25">
      <c r="A45" t="s">
        <v>78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</row>
    <row r="46" spans="1:13" x14ac:dyDescent="0.25">
      <c r="A46" s="19" t="s">
        <v>77</v>
      </c>
      <c r="B46" s="28">
        <f t="shared" ref="B46:M46" si="6">SUM(B41:B45)</f>
        <v>0</v>
      </c>
      <c r="C46" s="28">
        <f t="shared" si="6"/>
        <v>0</v>
      </c>
      <c r="D46" s="28">
        <f t="shared" si="6"/>
        <v>0</v>
      </c>
      <c r="E46" s="28">
        <f t="shared" si="6"/>
        <v>0</v>
      </c>
      <c r="F46" s="28">
        <f t="shared" si="6"/>
        <v>0</v>
      </c>
      <c r="G46" s="28">
        <f t="shared" si="6"/>
        <v>0</v>
      </c>
      <c r="H46" s="28">
        <f t="shared" si="6"/>
        <v>0</v>
      </c>
      <c r="I46" s="28">
        <f t="shared" si="6"/>
        <v>0</v>
      </c>
      <c r="J46" s="28">
        <f t="shared" si="6"/>
        <v>0</v>
      </c>
      <c r="K46" s="28">
        <f t="shared" si="6"/>
        <v>0</v>
      </c>
      <c r="L46" s="28">
        <f t="shared" si="6"/>
        <v>0</v>
      </c>
      <c r="M46" s="28">
        <f t="shared" si="6"/>
        <v>0</v>
      </c>
    </row>
    <row r="47" spans="1:13" x14ac:dyDescent="0.25"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 spans="1:13" outlineLevel="1" x14ac:dyDescent="0.25">
      <c r="A48" t="s">
        <v>76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</row>
    <row r="49" spans="1:13" x14ac:dyDescent="0.25">
      <c r="A49" s="19" t="s">
        <v>75</v>
      </c>
      <c r="B49" s="28">
        <f t="shared" ref="B49:M49" si="7">B48</f>
        <v>0</v>
      </c>
      <c r="C49" s="28">
        <f t="shared" si="7"/>
        <v>0</v>
      </c>
      <c r="D49" s="28">
        <f t="shared" si="7"/>
        <v>0</v>
      </c>
      <c r="E49" s="28">
        <f t="shared" si="7"/>
        <v>0</v>
      </c>
      <c r="F49" s="28">
        <f t="shared" si="7"/>
        <v>0</v>
      </c>
      <c r="G49" s="28">
        <f t="shared" si="7"/>
        <v>0</v>
      </c>
      <c r="H49" s="28">
        <f t="shared" si="7"/>
        <v>0</v>
      </c>
      <c r="I49" s="28">
        <f t="shared" si="7"/>
        <v>0</v>
      </c>
      <c r="J49" s="28">
        <f t="shared" si="7"/>
        <v>0</v>
      </c>
      <c r="K49" s="28">
        <f t="shared" si="7"/>
        <v>0</v>
      </c>
      <c r="L49" s="28">
        <f t="shared" si="7"/>
        <v>0</v>
      </c>
      <c r="M49" s="28">
        <f t="shared" si="7"/>
        <v>0</v>
      </c>
    </row>
    <row r="50" spans="1:13" x14ac:dyDescent="0.25"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spans="1:13" ht="17.25" outlineLevel="1" x14ac:dyDescent="0.25">
      <c r="A51" t="s">
        <v>74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 spans="1:13" ht="17.25" outlineLevel="1" x14ac:dyDescent="0.25">
      <c r="A52" t="s">
        <v>73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</row>
    <row r="53" spans="1:13" x14ac:dyDescent="0.25">
      <c r="A53" s="19" t="s">
        <v>72</v>
      </c>
      <c r="B53" s="28">
        <f t="shared" ref="B53:M53" si="8">SUM(B51:B52)</f>
        <v>0</v>
      </c>
      <c r="C53" s="28">
        <f t="shared" si="8"/>
        <v>0</v>
      </c>
      <c r="D53" s="28">
        <f t="shared" si="8"/>
        <v>0</v>
      </c>
      <c r="E53" s="28">
        <f t="shared" si="8"/>
        <v>0</v>
      </c>
      <c r="F53" s="28">
        <f t="shared" si="8"/>
        <v>0</v>
      </c>
      <c r="G53" s="28">
        <f t="shared" si="8"/>
        <v>0</v>
      </c>
      <c r="H53" s="28">
        <f t="shared" si="8"/>
        <v>0</v>
      </c>
      <c r="I53" s="28">
        <f t="shared" si="8"/>
        <v>0</v>
      </c>
      <c r="J53" s="28">
        <f t="shared" si="8"/>
        <v>0</v>
      </c>
      <c r="K53" s="28">
        <f t="shared" si="8"/>
        <v>0</v>
      </c>
      <c r="L53" s="28">
        <f t="shared" si="8"/>
        <v>0</v>
      </c>
      <c r="M53" s="28">
        <f t="shared" si="8"/>
        <v>0</v>
      </c>
    </row>
    <row r="54" spans="1:13" x14ac:dyDescent="0.25"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</row>
    <row r="55" spans="1:13" ht="17.25" outlineLevel="1" x14ac:dyDescent="0.25">
      <c r="A55" t="s">
        <v>71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 spans="1:13" ht="17.25" outlineLevel="1" x14ac:dyDescent="0.25">
      <c r="A56" t="s">
        <v>70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</row>
    <row r="57" spans="1:13" outlineLevel="1" x14ac:dyDescent="0.25">
      <c r="A57" t="s">
        <v>69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8" spans="1:13" outlineLevel="1" x14ac:dyDescent="0.25">
      <c r="A58" t="s">
        <v>68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</row>
    <row r="59" spans="1:13" outlineLevel="1" x14ac:dyDescent="0.25">
      <c r="A59" t="s">
        <v>67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 spans="1:13" ht="17.25" outlineLevel="1" x14ac:dyDescent="0.25">
      <c r="A60" t="s">
        <v>66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</row>
    <row r="61" spans="1:13" outlineLevel="1" x14ac:dyDescent="0.25">
      <c r="A61" t="s">
        <v>65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</row>
    <row r="62" spans="1:13" outlineLevel="1" x14ac:dyDescent="0.25">
      <c r="A62" t="s">
        <v>64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 spans="1:13" outlineLevel="1" x14ac:dyDescent="0.25">
      <c r="A63" t="s">
        <v>63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</row>
    <row r="64" spans="1:13" outlineLevel="1" x14ac:dyDescent="0.25">
      <c r="A64" t="s">
        <v>62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outlineLevel="1" x14ac:dyDescent="0.25">
      <c r="A65" t="s">
        <v>61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  <row r="66" spans="1:13" outlineLevel="1" x14ac:dyDescent="0.25">
      <c r="A66" t="s">
        <v>60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</row>
    <row r="67" spans="1:13" outlineLevel="1" x14ac:dyDescent="0.25">
      <c r="A67" t="s">
        <v>59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</row>
    <row r="68" spans="1:13" outlineLevel="1" x14ac:dyDescent="0.25">
      <c r="A68" t="s">
        <v>58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</row>
    <row r="69" spans="1:13" ht="17.25" outlineLevel="1" x14ac:dyDescent="0.25">
      <c r="A69" t="s">
        <v>57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</row>
    <row r="70" spans="1:13" ht="17.25" outlineLevel="1" x14ac:dyDescent="0.25">
      <c r="A70" t="s">
        <v>56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</row>
    <row r="71" spans="1:13" x14ac:dyDescent="0.25">
      <c r="A71" s="19" t="s">
        <v>55</v>
      </c>
      <c r="B71" s="28">
        <f t="shared" ref="B71:M71" si="9">SUM(B55:B70)</f>
        <v>0</v>
      </c>
      <c r="C71" s="28">
        <f t="shared" si="9"/>
        <v>0</v>
      </c>
      <c r="D71" s="28">
        <f t="shared" si="9"/>
        <v>0</v>
      </c>
      <c r="E71" s="28">
        <f t="shared" si="9"/>
        <v>0</v>
      </c>
      <c r="F71" s="28">
        <f t="shared" si="9"/>
        <v>0</v>
      </c>
      <c r="G71" s="28">
        <f t="shared" si="9"/>
        <v>0</v>
      </c>
      <c r="H71" s="28">
        <f t="shared" si="9"/>
        <v>0</v>
      </c>
      <c r="I71" s="28">
        <f t="shared" si="9"/>
        <v>0</v>
      </c>
      <c r="J71" s="28">
        <f t="shared" si="9"/>
        <v>0</v>
      </c>
      <c r="K71" s="28">
        <f t="shared" si="9"/>
        <v>0</v>
      </c>
      <c r="L71" s="28">
        <f t="shared" si="9"/>
        <v>0</v>
      </c>
      <c r="M71" s="28">
        <f t="shared" si="9"/>
        <v>0</v>
      </c>
    </row>
    <row r="72" spans="1:13" x14ac:dyDescent="0.25">
      <c r="A72" s="3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1:13" x14ac:dyDescent="0.25">
      <c r="A73" s="18" t="s">
        <v>14</v>
      </c>
      <c r="B73" s="23">
        <f t="shared" ref="B73:M73" si="10">SUM(B71,B53,B49,B46,B39,B34)</f>
        <v>0</v>
      </c>
      <c r="C73" s="23">
        <f t="shared" si="10"/>
        <v>0</v>
      </c>
      <c r="D73" s="23">
        <f t="shared" si="10"/>
        <v>0</v>
      </c>
      <c r="E73" s="23">
        <f t="shared" si="10"/>
        <v>0</v>
      </c>
      <c r="F73" s="23">
        <f t="shared" si="10"/>
        <v>0</v>
      </c>
      <c r="G73" s="23">
        <f t="shared" si="10"/>
        <v>0</v>
      </c>
      <c r="H73" s="23">
        <f t="shared" si="10"/>
        <v>0</v>
      </c>
      <c r="I73" s="23">
        <f t="shared" si="10"/>
        <v>0</v>
      </c>
      <c r="J73" s="23">
        <f t="shared" si="10"/>
        <v>0</v>
      </c>
      <c r="K73" s="23">
        <f t="shared" si="10"/>
        <v>0</v>
      </c>
      <c r="L73" s="23">
        <f t="shared" si="10"/>
        <v>0</v>
      </c>
      <c r="M73" s="23">
        <f t="shared" si="10"/>
        <v>0</v>
      </c>
    </row>
    <row r="74" spans="1:13" x14ac:dyDescent="0.25">
      <c r="A74" s="3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</row>
    <row r="75" spans="1:13" x14ac:dyDescent="0.25">
      <c r="A75" s="18" t="s">
        <v>15</v>
      </c>
      <c r="B75" s="23">
        <f t="shared" ref="B75:M75" si="11">B27-B73</f>
        <v>0</v>
      </c>
      <c r="C75" s="23">
        <f t="shared" si="11"/>
        <v>0</v>
      </c>
      <c r="D75" s="23">
        <f t="shared" si="11"/>
        <v>0</v>
      </c>
      <c r="E75" s="23">
        <f t="shared" si="11"/>
        <v>0</v>
      </c>
      <c r="F75" s="23">
        <f t="shared" si="11"/>
        <v>0</v>
      </c>
      <c r="G75" s="23">
        <f t="shared" si="11"/>
        <v>0</v>
      </c>
      <c r="H75" s="23">
        <f t="shared" si="11"/>
        <v>0</v>
      </c>
      <c r="I75" s="23">
        <f t="shared" si="11"/>
        <v>0</v>
      </c>
      <c r="J75" s="23">
        <f t="shared" si="11"/>
        <v>0</v>
      </c>
      <c r="K75" s="23">
        <f t="shared" si="11"/>
        <v>0</v>
      </c>
      <c r="L75" s="23">
        <f t="shared" si="11"/>
        <v>0</v>
      </c>
      <c r="M75" s="23">
        <f t="shared" si="11"/>
        <v>0</v>
      </c>
    </row>
    <row r="76" spans="1:13" s="27" customFormat="1" ht="11.25" x14ac:dyDescent="0.2">
      <c r="A76" s="25" t="s">
        <v>115</v>
      </c>
      <c r="B76" s="26" t="e">
        <f t="shared" ref="B76:M76" si="12">B75/B11</f>
        <v>#DIV/0!</v>
      </c>
      <c r="C76" s="26" t="e">
        <f t="shared" si="12"/>
        <v>#DIV/0!</v>
      </c>
      <c r="D76" s="26" t="e">
        <f t="shared" si="12"/>
        <v>#DIV/0!</v>
      </c>
      <c r="E76" s="26" t="e">
        <f t="shared" si="12"/>
        <v>#DIV/0!</v>
      </c>
      <c r="F76" s="26" t="e">
        <f t="shared" si="12"/>
        <v>#DIV/0!</v>
      </c>
      <c r="G76" s="26" t="e">
        <f t="shared" si="12"/>
        <v>#DIV/0!</v>
      </c>
      <c r="H76" s="26" t="e">
        <f t="shared" si="12"/>
        <v>#DIV/0!</v>
      </c>
      <c r="I76" s="26" t="e">
        <f t="shared" si="12"/>
        <v>#DIV/0!</v>
      </c>
      <c r="J76" s="26" t="e">
        <f t="shared" si="12"/>
        <v>#DIV/0!</v>
      </c>
      <c r="K76" s="26" t="e">
        <f t="shared" si="12"/>
        <v>#DIV/0!</v>
      </c>
      <c r="L76" s="26" t="e">
        <f t="shared" si="12"/>
        <v>#DIV/0!</v>
      </c>
      <c r="M76" s="26" t="e">
        <f t="shared" si="12"/>
        <v>#DIV/0!</v>
      </c>
    </row>
    <row r="77" spans="1:13" x14ac:dyDescent="0.25">
      <c r="A77" s="3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</row>
    <row r="78" spans="1:13" collapsed="1" x14ac:dyDescent="0.25">
      <c r="A78" s="19" t="s">
        <v>54</v>
      </c>
      <c r="B78" s="28">
        <v>0</v>
      </c>
      <c r="C78" s="28">
        <v>0</v>
      </c>
      <c r="D78" s="28">
        <v>0</v>
      </c>
      <c r="E78" s="28">
        <v>0</v>
      </c>
      <c r="F78" s="28">
        <v>0</v>
      </c>
      <c r="G78" s="28">
        <v>0</v>
      </c>
      <c r="H78" s="28">
        <v>0</v>
      </c>
      <c r="I78" s="28">
        <v>0</v>
      </c>
      <c r="J78" s="28">
        <v>0</v>
      </c>
      <c r="K78" s="28">
        <v>0</v>
      </c>
      <c r="L78" s="28">
        <v>0</v>
      </c>
      <c r="M78" s="28">
        <v>0</v>
      </c>
    </row>
    <row r="79" spans="1:13" x14ac:dyDescent="0.25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</row>
    <row r="80" spans="1:13" ht="17.25" outlineLevel="1" x14ac:dyDescent="0.25">
      <c r="A80" t="s">
        <v>53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  <row r="81" spans="1:21" ht="17.25" outlineLevel="1" x14ac:dyDescent="0.25">
      <c r="A81" t="s">
        <v>52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</row>
    <row r="82" spans="1:21" outlineLevel="1" x14ac:dyDescent="0.25">
      <c r="A82" t="s">
        <v>51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</row>
    <row r="83" spans="1:21" x14ac:dyDescent="0.25">
      <c r="A83" s="19" t="s">
        <v>22</v>
      </c>
      <c r="B83" s="28">
        <f t="shared" ref="B83:M83" si="13">SUM(B80:B82)</f>
        <v>0</v>
      </c>
      <c r="C83" s="28">
        <f t="shared" si="13"/>
        <v>0</v>
      </c>
      <c r="D83" s="28">
        <f t="shared" si="13"/>
        <v>0</v>
      </c>
      <c r="E83" s="28">
        <f t="shared" si="13"/>
        <v>0</v>
      </c>
      <c r="F83" s="28">
        <f t="shared" si="13"/>
        <v>0</v>
      </c>
      <c r="G83" s="28">
        <f t="shared" si="13"/>
        <v>0</v>
      </c>
      <c r="H83" s="28">
        <f t="shared" si="13"/>
        <v>0</v>
      </c>
      <c r="I83" s="28">
        <f t="shared" si="13"/>
        <v>0</v>
      </c>
      <c r="J83" s="28">
        <f t="shared" si="13"/>
        <v>0</v>
      </c>
      <c r="K83" s="28">
        <f t="shared" si="13"/>
        <v>0</v>
      </c>
      <c r="L83" s="28">
        <f t="shared" si="13"/>
        <v>0</v>
      </c>
      <c r="M83" s="28">
        <f t="shared" si="13"/>
        <v>0</v>
      </c>
    </row>
    <row r="84" spans="1:21" x14ac:dyDescent="0.25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</row>
    <row r="85" spans="1:21" x14ac:dyDescent="0.25">
      <c r="A85" s="20" t="s">
        <v>17</v>
      </c>
      <c r="B85" s="24">
        <f t="shared" ref="B85:M85" si="14">B75-B83</f>
        <v>0</v>
      </c>
      <c r="C85" s="24">
        <f t="shared" si="14"/>
        <v>0</v>
      </c>
      <c r="D85" s="24">
        <f t="shared" si="14"/>
        <v>0</v>
      </c>
      <c r="E85" s="24">
        <f t="shared" si="14"/>
        <v>0</v>
      </c>
      <c r="F85" s="24">
        <f t="shared" si="14"/>
        <v>0</v>
      </c>
      <c r="G85" s="24">
        <f t="shared" si="14"/>
        <v>0</v>
      </c>
      <c r="H85" s="24">
        <f t="shared" si="14"/>
        <v>0</v>
      </c>
      <c r="I85" s="24">
        <f t="shared" si="14"/>
        <v>0</v>
      </c>
      <c r="J85" s="24">
        <f t="shared" si="14"/>
        <v>0</v>
      </c>
      <c r="K85" s="24">
        <f t="shared" si="14"/>
        <v>0</v>
      </c>
      <c r="L85" s="24">
        <f t="shared" si="14"/>
        <v>0</v>
      </c>
      <c r="M85" s="24">
        <f t="shared" si="14"/>
        <v>0</v>
      </c>
    </row>
    <row r="87" spans="1:21" x14ac:dyDescent="0.25">
      <c r="A87" s="33" t="s">
        <v>50</v>
      </c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17"/>
    </row>
    <row r="88" spans="1:21" s="17" customFormat="1" x14ac:dyDescent="0.25">
      <c r="A88" s="32" t="s">
        <v>49</v>
      </c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</row>
    <row r="89" spans="1:21" s="17" customFormat="1" x14ac:dyDescent="0.25">
      <c r="A89" s="32" t="s">
        <v>48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</row>
    <row r="90" spans="1:21" s="17" customFormat="1" x14ac:dyDescent="0.25">
      <c r="A90" s="32" t="s">
        <v>47</v>
      </c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</row>
    <row r="91" spans="1:21" s="17" customFormat="1" x14ac:dyDescent="0.25">
      <c r="A91" s="32" t="s">
        <v>46</v>
      </c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</row>
    <row r="92" spans="1:21" s="17" customFormat="1" ht="14.45" customHeight="1" x14ac:dyDescent="0.25">
      <c r="A92" s="34" t="s">
        <v>45</v>
      </c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1"/>
      <c r="Q92" s="31"/>
      <c r="R92" s="31"/>
      <c r="S92" s="31"/>
      <c r="T92" s="31"/>
    </row>
    <row r="93" spans="1:21" s="17" customFormat="1" x14ac:dyDescent="0.2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1"/>
      <c r="Q93" s="31"/>
      <c r="R93" s="31"/>
      <c r="S93" s="31"/>
      <c r="T93" s="31"/>
    </row>
    <row r="94" spans="1:21" s="17" customFormat="1" x14ac:dyDescent="0.25">
      <c r="A94" s="32" t="s">
        <v>44</v>
      </c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</row>
    <row r="95" spans="1:21" s="17" customFormat="1" x14ac:dyDescent="0.25">
      <c r="A95" s="32" t="s">
        <v>43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</row>
    <row r="96" spans="1:21" s="17" customFormat="1" x14ac:dyDescent="0.25">
      <c r="A96" s="34" t="s">
        <v>122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0"/>
      <c r="Q96" s="30"/>
      <c r="R96" s="30"/>
      <c r="S96" s="30"/>
      <c r="T96" s="30"/>
    </row>
    <row r="97" spans="1:20" s="17" customForma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</row>
    <row r="98" spans="1:20" s="17" customFormat="1" x14ac:dyDescent="0.25">
      <c r="A98" s="32" t="s">
        <v>42</v>
      </c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</row>
    <row r="99" spans="1:20" s="17" customFormat="1" x14ac:dyDescent="0.25">
      <c r="A99" s="32" t="s">
        <v>41</v>
      </c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</row>
    <row r="100" spans="1:20" s="17" customFormat="1" x14ac:dyDescent="0.25">
      <c r="A100" s="34" t="s">
        <v>40</v>
      </c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0"/>
      <c r="Q100" s="30"/>
      <c r="R100" s="30"/>
      <c r="S100" s="30"/>
      <c r="T100" s="30"/>
    </row>
    <row r="101" spans="1:20" s="17" customFormat="1" x14ac:dyDescent="0.25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</row>
    <row r="102" spans="1:20" s="17" customFormat="1" x14ac:dyDescent="0.25">
      <c r="A102" s="32" t="s">
        <v>39</v>
      </c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</row>
    <row r="103" spans="1:20" s="17" customFormat="1" x14ac:dyDescent="0.25">
      <c r="A103" s="32" t="s">
        <v>38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</row>
    <row r="104" spans="1:20" s="17" customFormat="1" x14ac:dyDescent="0.25">
      <c r="A104" s="32" t="s">
        <v>37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</row>
    <row r="105" spans="1:20" s="17" customFormat="1" x14ac:dyDescent="0.25"/>
  </sheetData>
  <mergeCells count="15">
    <mergeCell ref="A102:T102"/>
    <mergeCell ref="A103:T103"/>
    <mergeCell ref="A104:T104"/>
    <mergeCell ref="A87:T87"/>
    <mergeCell ref="A88:T88"/>
    <mergeCell ref="A89:T89"/>
    <mergeCell ref="A90:T90"/>
    <mergeCell ref="A91:T91"/>
    <mergeCell ref="A100:O101"/>
    <mergeCell ref="A94:T94"/>
    <mergeCell ref="A95:T95"/>
    <mergeCell ref="A98:T98"/>
    <mergeCell ref="A92:O93"/>
    <mergeCell ref="A96:O97"/>
    <mergeCell ref="A99:T99"/>
  </mergeCells>
  <pageMargins left="0.7" right="0.7" top="0.75" bottom="0.75" header="0.3" footer="0.3"/>
  <pageSetup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1005-5FE0-4341-982C-7438D7EEDCCA}">
  <dimension ref="A1:S32"/>
  <sheetViews>
    <sheetView showGridLines="0" zoomScaleNormal="100" zoomScaleSheetLayoutView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33.28515625" bestFit="1" customWidth="1"/>
    <col min="2" max="2" width="12.140625" bestFit="1" customWidth="1"/>
    <col min="3" max="9" width="9" bestFit="1" customWidth="1"/>
    <col min="10" max="10" width="11" bestFit="1" customWidth="1"/>
    <col min="11" max="11" width="9" bestFit="1" customWidth="1"/>
    <col min="12" max="12" width="10.5703125" bestFit="1" customWidth="1"/>
    <col min="13" max="13" width="10.28515625" bestFit="1" customWidth="1"/>
  </cols>
  <sheetData>
    <row r="1" spans="1:17" x14ac:dyDescent="0.25">
      <c r="A1" s="38" t="s">
        <v>123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</row>
    <row r="2" spans="1:17" s="2" customFormat="1" x14ac:dyDescent="0.25">
      <c r="A2" s="15" t="s">
        <v>17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7" s="2" customFormat="1" ht="15.75" thickBot="1" x14ac:dyDescent="0.3">
      <c r="A3" s="5" t="s">
        <v>12</v>
      </c>
      <c r="B3" s="7">
        <f>'P&amp;L'!B11</f>
        <v>0</v>
      </c>
      <c r="C3" s="7">
        <f>'P&amp;L'!C11</f>
        <v>0</v>
      </c>
      <c r="D3" s="7">
        <f>'P&amp;L'!D11</f>
        <v>0</v>
      </c>
      <c r="E3" s="7">
        <f>'P&amp;L'!E11</f>
        <v>0</v>
      </c>
      <c r="F3" s="7">
        <f>'P&amp;L'!F11</f>
        <v>0</v>
      </c>
      <c r="G3" s="7">
        <f>'P&amp;L'!G11</f>
        <v>0</v>
      </c>
      <c r="H3" s="7">
        <f>'P&amp;L'!H11</f>
        <v>0</v>
      </c>
      <c r="I3" s="7">
        <f>'P&amp;L'!I11</f>
        <v>0</v>
      </c>
      <c r="J3" s="7">
        <f>'P&amp;L'!J11</f>
        <v>0</v>
      </c>
      <c r="K3" s="7">
        <f>'P&amp;L'!K11</f>
        <v>0</v>
      </c>
      <c r="L3" s="7">
        <f>'P&amp;L'!L11</f>
        <v>0</v>
      </c>
      <c r="M3" s="7">
        <f>'P&amp;L'!M11</f>
        <v>0</v>
      </c>
      <c r="O3" s="37" t="s">
        <v>113</v>
      </c>
      <c r="P3" s="37"/>
      <c r="Q3" s="14"/>
    </row>
    <row r="4" spans="1:17" ht="18.75" thickTop="1" thickBot="1" x14ac:dyDescent="0.3">
      <c r="A4" s="1" t="s">
        <v>27</v>
      </c>
      <c r="B4" s="8">
        <f>'P&amp;L'!B27</f>
        <v>0</v>
      </c>
      <c r="C4" s="8">
        <f>'P&amp;L'!C27</f>
        <v>0</v>
      </c>
      <c r="D4" s="8">
        <f>'P&amp;L'!D27</f>
        <v>0</v>
      </c>
      <c r="E4" s="8">
        <f>'P&amp;L'!E27</f>
        <v>0</v>
      </c>
      <c r="F4" s="8">
        <f>'P&amp;L'!F27</f>
        <v>0</v>
      </c>
      <c r="G4" s="8">
        <f>'P&amp;L'!G27</f>
        <v>0</v>
      </c>
      <c r="H4" s="8">
        <f>'P&amp;L'!H27</f>
        <v>0</v>
      </c>
      <c r="I4" s="8">
        <f>'P&amp;L'!I27</f>
        <v>0</v>
      </c>
      <c r="J4" s="8">
        <f>'P&amp;L'!J27</f>
        <v>0</v>
      </c>
      <c r="K4" s="8">
        <f>'P&amp;L'!K27</f>
        <v>0</v>
      </c>
      <c r="L4" s="8">
        <f>'P&amp;L'!L27</f>
        <v>0</v>
      </c>
      <c r="M4" s="8">
        <f>'P&amp;L'!M27</f>
        <v>0</v>
      </c>
      <c r="O4" s="35" t="s">
        <v>111</v>
      </c>
      <c r="P4" s="35"/>
      <c r="Q4" s="17"/>
    </row>
    <row r="5" spans="1:17" ht="16.5" thickTop="1" thickBot="1" x14ac:dyDescent="0.3">
      <c r="A5" s="1" t="s">
        <v>13</v>
      </c>
      <c r="B5" s="9">
        <f>IFERROR(B4/B3,0)</f>
        <v>0</v>
      </c>
      <c r="C5" s="9">
        <f t="shared" ref="C5:M5" si="0">IFERROR(C4/C3,0)</f>
        <v>0</v>
      </c>
      <c r="D5" s="9">
        <f t="shared" si="0"/>
        <v>0</v>
      </c>
      <c r="E5" s="9">
        <f t="shared" si="0"/>
        <v>0</v>
      </c>
      <c r="F5" s="9">
        <f t="shared" si="0"/>
        <v>0</v>
      </c>
      <c r="G5" s="9">
        <f t="shared" si="0"/>
        <v>0</v>
      </c>
      <c r="H5" s="9">
        <f t="shared" si="0"/>
        <v>0</v>
      </c>
      <c r="I5" s="9">
        <f t="shared" si="0"/>
        <v>0</v>
      </c>
      <c r="J5" s="9">
        <f t="shared" si="0"/>
        <v>0</v>
      </c>
      <c r="K5" s="9">
        <f t="shared" si="0"/>
        <v>0</v>
      </c>
      <c r="L5" s="9">
        <f t="shared" si="0"/>
        <v>0</v>
      </c>
      <c r="M5" s="9">
        <f t="shared" si="0"/>
        <v>0</v>
      </c>
      <c r="O5" s="36" t="s">
        <v>112</v>
      </c>
      <c r="P5" s="36"/>
    </row>
    <row r="6" spans="1:17" ht="16.5" thickTop="1" thickBot="1" x14ac:dyDescent="0.3">
      <c r="A6" s="1" t="s">
        <v>14</v>
      </c>
      <c r="B6" s="8">
        <f>'P&amp;L'!B73</f>
        <v>0</v>
      </c>
      <c r="C6" s="8">
        <f>'P&amp;L'!C73</f>
        <v>0</v>
      </c>
      <c r="D6" s="8">
        <f>'P&amp;L'!D73</f>
        <v>0</v>
      </c>
      <c r="E6" s="8">
        <f>'P&amp;L'!E73</f>
        <v>0</v>
      </c>
      <c r="F6" s="8">
        <f>'P&amp;L'!F73</f>
        <v>0</v>
      </c>
      <c r="G6" s="8">
        <f>'P&amp;L'!G73</f>
        <v>0</v>
      </c>
      <c r="H6" s="8">
        <f>'P&amp;L'!H73</f>
        <v>0</v>
      </c>
      <c r="I6" s="8">
        <f>'P&amp;L'!I73</f>
        <v>0</v>
      </c>
      <c r="J6" s="8">
        <f>'P&amp;L'!J73</f>
        <v>0</v>
      </c>
      <c r="K6" s="8">
        <f>'P&amp;L'!K73</f>
        <v>0</v>
      </c>
      <c r="L6" s="8">
        <f>'P&amp;L'!L73</f>
        <v>0</v>
      </c>
      <c r="M6" s="8">
        <f>'P&amp;L'!M73</f>
        <v>0</v>
      </c>
    </row>
    <row r="7" spans="1:17" ht="15.75" thickTop="1" x14ac:dyDescent="0.25">
      <c r="A7" s="1" t="s">
        <v>15</v>
      </c>
      <c r="B7" s="9">
        <f>B4-B6</f>
        <v>0</v>
      </c>
      <c r="C7" s="9">
        <f t="shared" ref="C7:M7" si="1">C4-C6</f>
        <v>0</v>
      </c>
      <c r="D7" s="9">
        <f t="shared" si="1"/>
        <v>0</v>
      </c>
      <c r="E7" s="9">
        <f t="shared" si="1"/>
        <v>0</v>
      </c>
      <c r="F7" s="9">
        <f t="shared" si="1"/>
        <v>0</v>
      </c>
      <c r="G7" s="9">
        <f t="shared" si="1"/>
        <v>0</v>
      </c>
      <c r="H7" s="9">
        <f t="shared" si="1"/>
        <v>0</v>
      </c>
      <c r="I7" s="9">
        <f t="shared" si="1"/>
        <v>0</v>
      </c>
      <c r="J7" s="9">
        <f t="shared" si="1"/>
        <v>0</v>
      </c>
      <c r="K7" s="9">
        <f t="shared" si="1"/>
        <v>0</v>
      </c>
      <c r="L7" s="9">
        <f t="shared" si="1"/>
        <v>0</v>
      </c>
      <c r="M7" s="9">
        <f t="shared" si="1"/>
        <v>0</v>
      </c>
    </row>
    <row r="8" spans="1:17" ht="15.75" thickBot="1" x14ac:dyDescent="0.3">
      <c r="A8" s="1" t="s">
        <v>16</v>
      </c>
      <c r="B8" s="8">
        <f>'P&amp;L'!B81</f>
        <v>0</v>
      </c>
      <c r="C8" s="8">
        <f>'P&amp;L'!C81</f>
        <v>0</v>
      </c>
      <c r="D8" s="8">
        <f>'P&amp;L'!D81</f>
        <v>0</v>
      </c>
      <c r="E8" s="8">
        <f>'P&amp;L'!E81</f>
        <v>0</v>
      </c>
      <c r="F8" s="8">
        <f>'P&amp;L'!F81</f>
        <v>0</v>
      </c>
      <c r="G8" s="8">
        <f>'P&amp;L'!G81</f>
        <v>0</v>
      </c>
      <c r="H8" s="8">
        <f>'P&amp;L'!H81</f>
        <v>0</v>
      </c>
      <c r="I8" s="8">
        <f>'P&amp;L'!I81</f>
        <v>0</v>
      </c>
      <c r="J8" s="8">
        <f>'P&amp;L'!J81</f>
        <v>0</v>
      </c>
      <c r="K8" s="8">
        <f>'P&amp;L'!K81</f>
        <v>0</v>
      </c>
      <c r="L8" s="8">
        <f>'P&amp;L'!L81</f>
        <v>0</v>
      </c>
      <c r="M8" s="8">
        <f>'P&amp;L'!M81</f>
        <v>0</v>
      </c>
    </row>
    <row r="9" spans="1:17" ht="18" thickTop="1" x14ac:dyDescent="0.25">
      <c r="A9" s="1" t="s">
        <v>29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7" ht="17.25" x14ac:dyDescent="0.25">
      <c r="A10" s="1" t="s">
        <v>28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7" s="2" customFormat="1" x14ac:dyDescent="0.25">
      <c r="A11" s="5" t="s">
        <v>22</v>
      </c>
      <c r="B11" s="10">
        <f>SUM(B8:B10)</f>
        <v>0</v>
      </c>
      <c r="C11" s="10">
        <f t="shared" ref="C11:M11" si="2">SUM(C8:C10)</f>
        <v>0</v>
      </c>
      <c r="D11" s="10">
        <f t="shared" si="2"/>
        <v>0</v>
      </c>
      <c r="E11" s="10">
        <f t="shared" si="2"/>
        <v>0</v>
      </c>
      <c r="F11" s="10">
        <f t="shared" si="2"/>
        <v>0</v>
      </c>
      <c r="G11" s="10">
        <f t="shared" si="2"/>
        <v>0</v>
      </c>
      <c r="H11" s="10">
        <f t="shared" si="2"/>
        <v>0</v>
      </c>
      <c r="I11" s="10">
        <f t="shared" si="2"/>
        <v>0</v>
      </c>
      <c r="J11" s="10">
        <f t="shared" si="2"/>
        <v>0</v>
      </c>
      <c r="K11" s="10">
        <f t="shared" si="2"/>
        <v>0</v>
      </c>
      <c r="L11" s="10">
        <f t="shared" si="2"/>
        <v>0</v>
      </c>
      <c r="M11" s="10">
        <f t="shared" si="2"/>
        <v>0</v>
      </c>
    </row>
    <row r="12" spans="1:17" s="2" customFormat="1" x14ac:dyDescent="0.25">
      <c r="A12" s="5" t="s">
        <v>17</v>
      </c>
      <c r="B12" s="10">
        <f>B7-B11</f>
        <v>0</v>
      </c>
      <c r="C12" s="10">
        <f t="shared" ref="C12:M12" si="3">C7-C11</f>
        <v>0</v>
      </c>
      <c r="D12" s="10">
        <f t="shared" si="3"/>
        <v>0</v>
      </c>
      <c r="E12" s="10">
        <f t="shared" si="3"/>
        <v>0</v>
      </c>
      <c r="F12" s="10">
        <f t="shared" si="3"/>
        <v>0</v>
      </c>
      <c r="G12" s="10">
        <f t="shared" si="3"/>
        <v>0</v>
      </c>
      <c r="H12" s="10">
        <f t="shared" si="3"/>
        <v>0</v>
      </c>
      <c r="I12" s="10">
        <f t="shared" si="3"/>
        <v>0</v>
      </c>
      <c r="J12" s="10">
        <f t="shared" si="3"/>
        <v>0</v>
      </c>
      <c r="K12" s="10">
        <f t="shared" si="3"/>
        <v>0</v>
      </c>
      <c r="L12" s="10">
        <f t="shared" si="3"/>
        <v>0</v>
      </c>
      <c r="M12" s="10">
        <f t="shared" si="3"/>
        <v>0</v>
      </c>
    </row>
    <row r="13" spans="1:17" s="2" customFormat="1" ht="17.25" x14ac:dyDescent="0.25">
      <c r="A13" s="5" t="s">
        <v>30</v>
      </c>
      <c r="B13" s="12">
        <f>IFERROR(B12/B3,0)</f>
        <v>0</v>
      </c>
      <c r="C13" s="12">
        <f t="shared" ref="C13:M13" si="4">IFERROR(C12/C3,0)</f>
        <v>0</v>
      </c>
      <c r="D13" s="12">
        <f t="shared" si="4"/>
        <v>0</v>
      </c>
      <c r="E13" s="12">
        <f t="shared" si="4"/>
        <v>0</v>
      </c>
      <c r="F13" s="12">
        <f t="shared" si="4"/>
        <v>0</v>
      </c>
      <c r="G13" s="12">
        <f t="shared" si="4"/>
        <v>0</v>
      </c>
      <c r="H13" s="12">
        <f t="shared" si="4"/>
        <v>0</v>
      </c>
      <c r="I13" s="12">
        <f t="shared" si="4"/>
        <v>0</v>
      </c>
      <c r="J13" s="12">
        <f t="shared" si="4"/>
        <v>0</v>
      </c>
      <c r="K13" s="12">
        <f t="shared" si="4"/>
        <v>0</v>
      </c>
      <c r="L13" s="12">
        <f t="shared" si="4"/>
        <v>0</v>
      </c>
      <c r="M13" s="12">
        <f t="shared" si="4"/>
        <v>0</v>
      </c>
    </row>
    <row r="14" spans="1:17" s="2" customFormat="1" x14ac:dyDescent="0.25">
      <c r="A14" s="11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 spans="1:17" s="2" customFormat="1" x14ac:dyDescent="0.25">
      <c r="A15" s="15" t="s">
        <v>18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7" ht="17.25" x14ac:dyDescent="0.25">
      <c r="A16" s="1" t="s">
        <v>31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1:19" ht="17.25" x14ac:dyDescent="0.25">
      <c r="A17" s="1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9" s="2" customFormat="1" x14ac:dyDescent="0.25">
      <c r="A18" s="5" t="s">
        <v>19</v>
      </c>
      <c r="B18" s="10">
        <f>SUM(B16:B17)</f>
        <v>0</v>
      </c>
      <c r="C18" s="10">
        <f t="shared" ref="C18:M18" si="5">SUM(C16:C17)</f>
        <v>0</v>
      </c>
      <c r="D18" s="10">
        <f t="shared" si="5"/>
        <v>0</v>
      </c>
      <c r="E18" s="10">
        <f t="shared" si="5"/>
        <v>0</v>
      </c>
      <c r="F18" s="10">
        <f t="shared" si="5"/>
        <v>0</v>
      </c>
      <c r="G18" s="10">
        <f t="shared" si="5"/>
        <v>0</v>
      </c>
      <c r="H18" s="10">
        <f t="shared" si="5"/>
        <v>0</v>
      </c>
      <c r="I18" s="10">
        <f t="shared" si="5"/>
        <v>0</v>
      </c>
      <c r="J18" s="10">
        <f t="shared" si="5"/>
        <v>0</v>
      </c>
      <c r="K18" s="10">
        <f t="shared" si="5"/>
        <v>0</v>
      </c>
      <c r="L18" s="10">
        <f t="shared" si="5"/>
        <v>0</v>
      </c>
      <c r="M18" s="10">
        <f t="shared" si="5"/>
        <v>0</v>
      </c>
    </row>
    <row r="19" spans="1:19" s="2" customFormat="1" x14ac:dyDescent="0.25">
      <c r="A19" s="5" t="s">
        <v>20</v>
      </c>
      <c r="B19" s="10">
        <f>B12-B18</f>
        <v>0</v>
      </c>
      <c r="C19" s="10">
        <f t="shared" ref="C19:M19" si="6">C12-C18</f>
        <v>0</v>
      </c>
      <c r="D19" s="10">
        <f t="shared" si="6"/>
        <v>0</v>
      </c>
      <c r="E19" s="10">
        <f t="shared" si="6"/>
        <v>0</v>
      </c>
      <c r="F19" s="10">
        <f t="shared" si="6"/>
        <v>0</v>
      </c>
      <c r="G19" s="10">
        <f t="shared" si="6"/>
        <v>0</v>
      </c>
      <c r="H19" s="10">
        <f t="shared" si="6"/>
        <v>0</v>
      </c>
      <c r="I19" s="10">
        <f t="shared" si="6"/>
        <v>0</v>
      </c>
      <c r="J19" s="10">
        <f t="shared" si="6"/>
        <v>0</v>
      </c>
      <c r="K19" s="10">
        <f t="shared" si="6"/>
        <v>0</v>
      </c>
      <c r="L19" s="10">
        <f t="shared" si="6"/>
        <v>0</v>
      </c>
      <c r="M19" s="10">
        <f t="shared" si="6"/>
        <v>0</v>
      </c>
    </row>
    <row r="20" spans="1:19" ht="17.25" x14ac:dyDescent="0.25">
      <c r="A20" s="1" t="s">
        <v>33</v>
      </c>
      <c r="B20" s="4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9" s="2" customFormat="1" x14ac:dyDescent="0.25">
      <c r="A21" s="5" t="s">
        <v>21</v>
      </c>
      <c r="B21" s="10">
        <f>B19-B20</f>
        <v>0</v>
      </c>
      <c r="C21" s="10">
        <f t="shared" ref="C21:M21" si="7">C19-C20</f>
        <v>0</v>
      </c>
      <c r="D21" s="10">
        <f t="shared" si="7"/>
        <v>0</v>
      </c>
      <c r="E21" s="10">
        <f t="shared" si="7"/>
        <v>0</v>
      </c>
      <c r="F21" s="10">
        <f t="shared" si="7"/>
        <v>0</v>
      </c>
      <c r="G21" s="10">
        <f t="shared" si="7"/>
        <v>0</v>
      </c>
      <c r="H21" s="10">
        <f t="shared" si="7"/>
        <v>0</v>
      </c>
      <c r="I21" s="10">
        <f t="shared" si="7"/>
        <v>0</v>
      </c>
      <c r="J21" s="10">
        <f t="shared" si="7"/>
        <v>0</v>
      </c>
      <c r="K21" s="10">
        <f t="shared" si="7"/>
        <v>0</v>
      </c>
      <c r="L21" s="10">
        <f t="shared" si="7"/>
        <v>0</v>
      </c>
      <c r="M21" s="10">
        <f t="shared" si="7"/>
        <v>0</v>
      </c>
    </row>
    <row r="23" spans="1:19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pans="1:19" x14ac:dyDescent="0.25">
      <c r="A24" s="29" t="s">
        <v>23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17"/>
    </row>
    <row r="25" spans="1:19" x14ac:dyDescent="0.25">
      <c r="A25" s="17" t="s">
        <v>34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 spans="1:19" x14ac:dyDescent="0.25">
      <c r="A26" s="17" t="s">
        <v>35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spans="1:19" x14ac:dyDescent="0.25">
      <c r="A27" s="17" t="s">
        <v>116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spans="1:19" x14ac:dyDescent="0.25">
      <c r="A28" s="14" t="s">
        <v>117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</row>
    <row r="29" spans="1:19" x14ac:dyDescent="0.25">
      <c r="A29" s="17" t="s">
        <v>36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spans="1:19" x14ac:dyDescent="0.25">
      <c r="A30" s="17" t="s">
        <v>24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</row>
    <row r="31" spans="1:19" x14ac:dyDescent="0.25">
      <c r="A31" s="17" t="s">
        <v>25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</row>
    <row r="32" spans="1:19" x14ac:dyDescent="0.25">
      <c r="A32" s="17" t="s">
        <v>26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</row>
  </sheetData>
  <mergeCells count="3">
    <mergeCell ref="O4:P4"/>
    <mergeCell ref="O5:P5"/>
    <mergeCell ref="O3:P3"/>
  </mergeCells>
  <phoneticPr fontId="3" type="noConversion"/>
  <pageMargins left="0.7" right="0.7" top="0.75" bottom="0.75" header="0.3" footer="0.3"/>
  <pageSetup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P&amp;L</vt:lpstr>
      <vt:lpstr>Cash Flow</vt:lpstr>
      <vt:lpstr>'Cash Flow'!Print_Area</vt:lpstr>
      <vt:lpstr>'P&amp;L'!Print_Area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Comiskey</dc:creator>
  <cp:lastModifiedBy>Brian Comiskey</cp:lastModifiedBy>
  <dcterms:created xsi:type="dcterms:W3CDTF">2020-11-05T15:43:06Z</dcterms:created>
  <dcterms:modified xsi:type="dcterms:W3CDTF">2020-12-01T21:11:52Z</dcterms:modified>
</cp:coreProperties>
</file>