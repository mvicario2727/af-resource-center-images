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brands-my.sharepoint.com/personal/ryan_campbell_sebrands_com/Documents/"/>
    </mc:Choice>
  </mc:AlternateContent>
  <xr:revisionPtr revIDLastSave="0" documentId="8_{9DBE8AFA-CD84-452C-B4E6-84B5572E45F6}" xr6:coauthVersionLast="47" xr6:coauthVersionMax="47" xr10:uidLastSave="{00000000-0000-0000-0000-000000000000}"/>
  <bookViews>
    <workbookView xWindow="-38520" yWindow="-15" windowWidth="38640" windowHeight="15840" firstSheet="2" activeTab="2" xr2:uid="{C0D05265-1C65-4B40-BFEE-11B6C631B2C0}"/>
  </bookViews>
  <sheets>
    <sheet name="Budget Tiered" sheetId="5" r:id="rId1"/>
    <sheet name="Budget Add On" sheetId="3" r:id="rId2"/>
    <sheet name="Budget Actual 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7" i="6"/>
  <c r="D5" i="6"/>
  <c r="C12" i="3"/>
  <c r="C7" i="3"/>
  <c r="C12" i="5"/>
  <c r="C7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D5" i="5"/>
  <c r="Q7" i="3"/>
  <c r="R7" i="3"/>
  <c r="S7" i="3"/>
  <c r="T7" i="3"/>
  <c r="U7" i="3"/>
  <c r="Q12" i="3"/>
  <c r="R12" i="3"/>
  <c r="S12" i="3"/>
  <c r="T12" i="3"/>
  <c r="U12" i="3"/>
  <c r="E12" i="3"/>
  <c r="F12" i="3"/>
  <c r="G12" i="3"/>
  <c r="H12" i="3"/>
  <c r="I12" i="3"/>
  <c r="J12" i="3"/>
  <c r="K12" i="3"/>
  <c r="L12" i="3"/>
  <c r="M12" i="3"/>
  <c r="N12" i="3"/>
  <c r="O12" i="3"/>
  <c r="P12" i="3"/>
  <c r="D12" i="3"/>
  <c r="E7" i="3"/>
  <c r="F7" i="3"/>
  <c r="G7" i="3"/>
  <c r="H7" i="3"/>
  <c r="I7" i="3"/>
  <c r="J7" i="3"/>
  <c r="K7" i="3"/>
  <c r="L7" i="3"/>
  <c r="M7" i="3"/>
  <c r="N7" i="3"/>
  <c r="O7" i="3"/>
  <c r="P7" i="3"/>
  <c r="D7" i="3"/>
  <c r="D5" i="3"/>
  <c r="E5" i="6" l="1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D9" i="6" s="1"/>
  <c r="D10" i="6" s="1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D14" i="6" s="1"/>
  <c r="D15" i="6" s="1"/>
  <c r="D14" i="5"/>
  <c r="D15" i="5" s="1"/>
  <c r="D9" i="5"/>
  <c r="D10" i="5" s="1"/>
  <c r="E5" i="5"/>
  <c r="E5" i="3"/>
  <c r="D14" i="3"/>
  <c r="D15" i="3" s="1"/>
  <c r="D9" i="3"/>
  <c r="D10" i="3" s="1"/>
  <c r="E14" i="6" l="1"/>
  <c r="E15" i="6" s="1"/>
  <c r="E9" i="6"/>
  <c r="E10" i="6" s="1"/>
  <c r="F5" i="6"/>
  <c r="E14" i="5"/>
  <c r="E9" i="5"/>
  <c r="F5" i="5"/>
  <c r="E10" i="5"/>
  <c r="E15" i="5"/>
  <c r="F5" i="3"/>
  <c r="E14" i="3"/>
  <c r="E15" i="3" s="1"/>
  <c r="E9" i="3"/>
  <c r="E10" i="3" s="1"/>
  <c r="F14" i="6" l="1"/>
  <c r="F9" i="6"/>
  <c r="G5" i="6"/>
  <c r="F10" i="6"/>
  <c r="F15" i="6"/>
  <c r="F14" i="5"/>
  <c r="F15" i="5" s="1"/>
  <c r="F9" i="5"/>
  <c r="F10" i="5" s="1"/>
  <c r="G5" i="5"/>
  <c r="G5" i="3"/>
  <c r="F14" i="3"/>
  <c r="F15" i="3" s="1"/>
  <c r="F9" i="3"/>
  <c r="F10" i="3" s="1"/>
  <c r="G14" i="6" l="1"/>
  <c r="G15" i="6" s="1"/>
  <c r="G9" i="6"/>
  <c r="G10" i="6" s="1"/>
  <c r="H5" i="6"/>
  <c r="G14" i="5"/>
  <c r="G9" i="5"/>
  <c r="H5" i="5"/>
  <c r="G10" i="5"/>
  <c r="G15" i="5"/>
  <c r="H5" i="3"/>
  <c r="G14" i="3"/>
  <c r="G15" i="3" s="1"/>
  <c r="G9" i="3"/>
  <c r="G10" i="3" s="1"/>
  <c r="H14" i="6" l="1"/>
  <c r="H9" i="6"/>
  <c r="I5" i="6"/>
  <c r="H10" i="6"/>
  <c r="H15" i="6"/>
  <c r="H14" i="5"/>
  <c r="H15" i="5" s="1"/>
  <c r="H9" i="5"/>
  <c r="H10" i="5" s="1"/>
  <c r="I5" i="5"/>
  <c r="I5" i="3"/>
  <c r="H14" i="3"/>
  <c r="H15" i="3" s="1"/>
  <c r="H9" i="3"/>
  <c r="H10" i="3" s="1"/>
  <c r="I14" i="6" l="1"/>
  <c r="I15" i="6" s="1"/>
  <c r="I9" i="6"/>
  <c r="I10" i="6" s="1"/>
  <c r="J5" i="6"/>
  <c r="I14" i="5"/>
  <c r="I9" i="5"/>
  <c r="J5" i="5"/>
  <c r="I10" i="5"/>
  <c r="I15" i="5"/>
  <c r="J5" i="3"/>
  <c r="I14" i="3"/>
  <c r="I15" i="3" s="1"/>
  <c r="I9" i="3"/>
  <c r="I10" i="3" s="1"/>
  <c r="J14" i="6" l="1"/>
  <c r="J9" i="6"/>
  <c r="K5" i="6"/>
  <c r="J10" i="6"/>
  <c r="J15" i="6"/>
  <c r="J14" i="5"/>
  <c r="J15" i="5" s="1"/>
  <c r="J9" i="5"/>
  <c r="J10" i="5" s="1"/>
  <c r="K5" i="5"/>
  <c r="K5" i="3"/>
  <c r="J14" i="3"/>
  <c r="J15" i="3" s="1"/>
  <c r="J9" i="3"/>
  <c r="J10" i="3" s="1"/>
  <c r="K14" i="6" l="1"/>
  <c r="K15" i="6" s="1"/>
  <c r="K9" i="6"/>
  <c r="K10" i="6" s="1"/>
  <c r="L5" i="6"/>
  <c r="K14" i="5"/>
  <c r="K9" i="5"/>
  <c r="L5" i="5"/>
  <c r="K10" i="5"/>
  <c r="K15" i="5"/>
  <c r="L5" i="3"/>
  <c r="K14" i="3"/>
  <c r="K15" i="3" s="1"/>
  <c r="K9" i="3"/>
  <c r="K10" i="3" s="1"/>
  <c r="L14" i="6" l="1"/>
  <c r="L9" i="6"/>
  <c r="M5" i="6"/>
  <c r="L10" i="6"/>
  <c r="L15" i="6"/>
  <c r="L14" i="5"/>
  <c r="L15" i="5" s="1"/>
  <c r="L9" i="5"/>
  <c r="L10" i="5" s="1"/>
  <c r="M5" i="5"/>
  <c r="M5" i="3"/>
  <c r="L14" i="3"/>
  <c r="L15" i="3" s="1"/>
  <c r="L9" i="3"/>
  <c r="L10" i="3" s="1"/>
  <c r="M14" i="6" l="1"/>
  <c r="M15" i="6" s="1"/>
  <c r="M9" i="6"/>
  <c r="M10" i="6" s="1"/>
  <c r="N5" i="6"/>
  <c r="M14" i="5"/>
  <c r="M9" i="5"/>
  <c r="N5" i="5"/>
  <c r="M10" i="5"/>
  <c r="M15" i="5"/>
  <c r="N5" i="3"/>
  <c r="M14" i="3"/>
  <c r="M15" i="3" s="1"/>
  <c r="M9" i="3"/>
  <c r="M10" i="3" s="1"/>
  <c r="N14" i="6" l="1"/>
  <c r="N9" i="6"/>
  <c r="O5" i="6"/>
  <c r="N10" i="6"/>
  <c r="N15" i="6"/>
  <c r="N14" i="5"/>
  <c r="N15" i="5" s="1"/>
  <c r="N9" i="5"/>
  <c r="N10" i="5" s="1"/>
  <c r="O5" i="5"/>
  <c r="O5" i="3"/>
  <c r="N14" i="3"/>
  <c r="N15" i="3" s="1"/>
  <c r="N9" i="3"/>
  <c r="N10" i="3" s="1"/>
  <c r="O14" i="6" l="1"/>
  <c r="O15" i="6" s="1"/>
  <c r="O9" i="6"/>
  <c r="O10" i="6" s="1"/>
  <c r="P5" i="6"/>
  <c r="O14" i="5"/>
  <c r="O9" i="5"/>
  <c r="P5" i="5"/>
  <c r="O10" i="5"/>
  <c r="O15" i="5"/>
  <c r="P5" i="3"/>
  <c r="Q5" i="3" s="1"/>
  <c r="O14" i="3"/>
  <c r="O15" i="3" s="1"/>
  <c r="O9" i="3"/>
  <c r="O10" i="3" s="1"/>
  <c r="P14" i="6" l="1"/>
  <c r="P9" i="6"/>
  <c r="Q5" i="6"/>
  <c r="P10" i="6"/>
  <c r="P15" i="6"/>
  <c r="P14" i="5"/>
  <c r="P15" i="5" s="1"/>
  <c r="P9" i="5"/>
  <c r="P10" i="5" s="1"/>
  <c r="Q5" i="5"/>
  <c r="R5" i="3"/>
  <c r="Q9" i="3"/>
  <c r="Q14" i="3"/>
  <c r="P14" i="3"/>
  <c r="P15" i="3" s="1"/>
  <c r="P9" i="3"/>
  <c r="P10" i="3" s="1"/>
  <c r="Q14" i="6" l="1"/>
  <c r="Q15" i="6" s="1"/>
  <c r="Q9" i="6"/>
  <c r="Q10" i="6" s="1"/>
  <c r="R5" i="6"/>
  <c r="Q15" i="3"/>
  <c r="Q10" i="3"/>
  <c r="Q14" i="5"/>
  <c r="Q9" i="5"/>
  <c r="R5" i="5"/>
  <c r="Q10" i="5"/>
  <c r="Q15" i="5"/>
  <c r="S5" i="3"/>
  <c r="R9" i="3"/>
  <c r="R10" i="3" s="1"/>
  <c r="R14" i="3"/>
  <c r="R15" i="3" s="1"/>
  <c r="R14" i="6" l="1"/>
  <c r="R9" i="6"/>
  <c r="S5" i="6"/>
  <c r="R10" i="6"/>
  <c r="R15" i="6"/>
  <c r="R14" i="5"/>
  <c r="R15" i="5" s="1"/>
  <c r="R9" i="5"/>
  <c r="R10" i="5" s="1"/>
  <c r="S5" i="5"/>
  <c r="T5" i="3"/>
  <c r="S9" i="3"/>
  <c r="S10" i="3" s="1"/>
  <c r="S14" i="3"/>
  <c r="S15" i="3" s="1"/>
  <c r="S14" i="6" l="1"/>
  <c r="S15" i="6" s="1"/>
  <c r="S9" i="6"/>
  <c r="S10" i="6" s="1"/>
  <c r="T5" i="6"/>
  <c r="S14" i="5"/>
  <c r="S9" i="5"/>
  <c r="T5" i="5"/>
  <c r="S10" i="5"/>
  <c r="S15" i="5"/>
  <c r="U5" i="3"/>
  <c r="T9" i="3"/>
  <c r="T10" i="3" s="1"/>
  <c r="T14" i="3"/>
  <c r="T15" i="3" s="1"/>
  <c r="T14" i="6" l="1"/>
  <c r="T9" i="6"/>
  <c r="U5" i="6"/>
  <c r="T10" i="6"/>
  <c r="T15" i="6"/>
  <c r="T14" i="5"/>
  <c r="T15" i="5" s="1"/>
  <c r="T9" i="5"/>
  <c r="T10" i="5" s="1"/>
  <c r="U5" i="5"/>
  <c r="U9" i="3"/>
  <c r="U10" i="3" s="1"/>
  <c r="U14" i="3"/>
  <c r="U15" i="3" s="1"/>
  <c r="U14" i="6" l="1"/>
  <c r="U15" i="6" s="1"/>
  <c r="U9" i="6"/>
  <c r="U10" i="6" s="1"/>
  <c r="X10" i="3"/>
  <c r="X9" i="3"/>
  <c r="X7" i="3"/>
  <c r="X6" i="3"/>
  <c r="U14" i="5"/>
  <c r="U9" i="5"/>
  <c r="U10" i="5"/>
  <c r="X7" i="5" s="1"/>
  <c r="X6" i="5"/>
  <c r="U15" i="5"/>
  <c r="X10" i="5"/>
  <c r="X9" i="5"/>
  <c r="X7" i="6" l="1"/>
  <c r="X6" i="6"/>
  <c r="X10" i="6"/>
  <c r="X9" i="6"/>
</calcChain>
</file>

<file path=xl/sharedStrings.xml><?xml version="1.0" encoding="utf-8"?>
<sst xmlns="http://schemas.openxmlformats.org/spreadsheetml/2006/main" count="84" uniqueCount="24">
  <si>
    <t>Red Light Therapy Bed</t>
  </si>
  <si>
    <t xml:space="preserve">Tiered Membership Model </t>
  </si>
  <si>
    <t>Assumptions</t>
  </si>
  <si>
    <t>Club</t>
  </si>
  <si>
    <t>NAME</t>
  </si>
  <si>
    <t>RLT Cost</t>
  </si>
  <si>
    <t>Month</t>
  </si>
  <si>
    <t>Tiered membership (Inc $/mo)</t>
  </si>
  <si>
    <t>Members</t>
  </si>
  <si>
    <t>Tiered Memebrship ($/mo)</t>
  </si>
  <si>
    <t> </t>
  </si>
  <si>
    <t>Cumulative Members</t>
  </si>
  <si>
    <t xml:space="preserve">Adjusted Revenue: </t>
  </si>
  <si>
    <t>Adjusted Revenue:</t>
  </si>
  <si>
    <t>Breakeven Month</t>
  </si>
  <si>
    <t>Revenue Increase</t>
  </si>
  <si>
    <t>ROI Month</t>
  </si>
  <si>
    <t xml:space="preserve">Unadjusted Revenue: </t>
  </si>
  <si>
    <t xml:space="preserve">Total Tiered Revenue </t>
  </si>
  <si>
    <t>Cumulative Revenue</t>
  </si>
  <si>
    <t>Revenue/ Membership</t>
  </si>
  <si>
    <t xml:space="preserve">Membership Add-On Model </t>
  </si>
  <si>
    <t xml:space="preserve">Budget Actual </t>
  </si>
  <si>
    <t>ROI:1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</si>
</sst>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6" fontId="2" fillId="0" borderId="0" xfId="0" applyNumberFormat="1" applyFont="1"/>
    <xf numFmtId="0" fontId="2" fillId="0" borderId="1" xfId="0" applyFont="1" applyBorder="1"/>
    <xf numFmtId="6" fontId="2" fillId="0" borderId="1" xfId="0" applyNumberFormat="1" applyFont="1" applyBorder="1"/>
    <xf numFmtId="0" fontId="2" fillId="0" borderId="0" xfId="0" applyFont="1" applyAlignment="1">
      <alignment horizontal="right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995A-0AA9-4630-B87D-6E3CDF9E3D1C}">
  <dimension ref="A1:X16"/>
  <sheetViews>
    <sheetView topLeftCell="Q1" workbookViewId="0">
      <selection activeCell="X4" sqref="X4"/>
    </sheetView>
  </sheetViews>
  <sheetFormatPr defaultRowHeight="15"/>
  <cols>
    <col min="1" max="1" width="21.5703125" bestFit="1" customWidth="1"/>
    <col min="2" max="2" width="26" bestFit="1" customWidth="1"/>
    <col min="3" max="3" width="4.85546875" bestFit="1" customWidth="1"/>
    <col min="23" max="23" width="28.28515625" bestFit="1" customWidth="1"/>
  </cols>
  <sheetData>
    <row r="1" spans="1:24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 t="s">
        <v>2</v>
      </c>
      <c r="X1" s="2"/>
    </row>
    <row r="2" spans="1:24">
      <c r="A2" s="1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5</v>
      </c>
      <c r="X2" s="3">
        <v>6500</v>
      </c>
    </row>
    <row r="3" spans="1:24">
      <c r="A3" s="1" t="s">
        <v>6</v>
      </c>
      <c r="B3" s="2"/>
      <c r="C3" s="2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/>
      <c r="W3" s="2" t="s">
        <v>7</v>
      </c>
      <c r="X3" s="3">
        <v>10</v>
      </c>
    </row>
    <row r="4" spans="1:24">
      <c r="A4" s="2"/>
      <c r="B4" s="2" t="s">
        <v>8</v>
      </c>
      <c r="C4" s="2"/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  <c r="V4" s="2"/>
      <c r="W4" s="2" t="s">
        <v>9</v>
      </c>
      <c r="X4" s="3">
        <v>70</v>
      </c>
    </row>
    <row r="5" spans="1:24">
      <c r="A5" s="4" t="s">
        <v>10</v>
      </c>
      <c r="B5" s="4" t="s">
        <v>11</v>
      </c>
      <c r="C5" s="4"/>
      <c r="D5" s="4">
        <f>D4</f>
        <v>6</v>
      </c>
      <c r="E5" s="4">
        <f>D5+E4</f>
        <v>12</v>
      </c>
      <c r="F5" s="4">
        <f t="shared" ref="F5:U5" si="0">E5+F4</f>
        <v>18</v>
      </c>
      <c r="G5" s="4">
        <f t="shared" si="0"/>
        <v>24</v>
      </c>
      <c r="H5" s="4">
        <f t="shared" si="0"/>
        <v>30</v>
      </c>
      <c r="I5" s="4">
        <f t="shared" si="0"/>
        <v>36</v>
      </c>
      <c r="J5" s="4">
        <f t="shared" si="0"/>
        <v>42</v>
      </c>
      <c r="K5" s="4">
        <f t="shared" si="0"/>
        <v>48</v>
      </c>
      <c r="L5" s="4">
        <f t="shared" si="0"/>
        <v>54</v>
      </c>
      <c r="M5" s="4">
        <f t="shared" si="0"/>
        <v>60</v>
      </c>
      <c r="N5" s="4">
        <f t="shared" si="0"/>
        <v>66</v>
      </c>
      <c r="O5" s="4">
        <f t="shared" si="0"/>
        <v>72</v>
      </c>
      <c r="P5" s="4">
        <f t="shared" si="0"/>
        <v>78</v>
      </c>
      <c r="Q5" s="4">
        <f t="shared" si="0"/>
        <v>84</v>
      </c>
      <c r="R5" s="4">
        <f t="shared" si="0"/>
        <v>90</v>
      </c>
      <c r="S5" s="4">
        <f t="shared" si="0"/>
        <v>96</v>
      </c>
      <c r="T5" s="4">
        <f t="shared" si="0"/>
        <v>102</v>
      </c>
      <c r="U5" s="4">
        <f t="shared" si="0"/>
        <v>108</v>
      </c>
      <c r="V5" s="2"/>
      <c r="W5" s="1" t="s">
        <v>12</v>
      </c>
      <c r="X5" s="2"/>
    </row>
    <row r="6" spans="1:24">
      <c r="A6" s="1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14</v>
      </c>
      <c r="X6" s="6">
        <f>_xlfn.XLOOKUP(X2,D10:U10,D3:U3," ",1,1)</f>
        <v>15</v>
      </c>
    </row>
    <row r="7" spans="1:24">
      <c r="A7" s="2"/>
      <c r="B7" s="2" t="s">
        <v>15</v>
      </c>
      <c r="C7" s="3">
        <f>X3</f>
        <v>10</v>
      </c>
      <c r="D7" s="3">
        <f>$C$7</f>
        <v>10</v>
      </c>
      <c r="E7" s="3">
        <f t="shared" ref="E7:U7" si="1">$C$7</f>
        <v>10</v>
      </c>
      <c r="F7" s="3">
        <f t="shared" si="1"/>
        <v>10</v>
      </c>
      <c r="G7" s="3">
        <f t="shared" si="1"/>
        <v>10</v>
      </c>
      <c r="H7" s="3">
        <f t="shared" si="1"/>
        <v>10</v>
      </c>
      <c r="I7" s="3">
        <f t="shared" si="1"/>
        <v>10</v>
      </c>
      <c r="J7" s="3">
        <f t="shared" si="1"/>
        <v>10</v>
      </c>
      <c r="K7" s="3">
        <f t="shared" si="1"/>
        <v>10</v>
      </c>
      <c r="L7" s="3">
        <f t="shared" si="1"/>
        <v>10</v>
      </c>
      <c r="M7" s="3">
        <f t="shared" si="1"/>
        <v>10</v>
      </c>
      <c r="N7" s="3">
        <f t="shared" si="1"/>
        <v>10</v>
      </c>
      <c r="O7" s="3">
        <f t="shared" si="1"/>
        <v>10</v>
      </c>
      <c r="P7" s="3">
        <f t="shared" si="1"/>
        <v>10</v>
      </c>
      <c r="Q7" s="3">
        <f t="shared" si="1"/>
        <v>10</v>
      </c>
      <c r="R7" s="3">
        <f t="shared" si="1"/>
        <v>10</v>
      </c>
      <c r="S7" s="3">
        <f t="shared" si="1"/>
        <v>10</v>
      </c>
      <c r="T7" s="3">
        <f t="shared" si="1"/>
        <v>10</v>
      </c>
      <c r="U7" s="3">
        <f t="shared" si="1"/>
        <v>10</v>
      </c>
      <c r="V7" s="3"/>
      <c r="W7" s="2" t="s">
        <v>16</v>
      </c>
      <c r="X7" s="6" t="str">
        <f>_xlfn.XLOOKUP((X2*2),D10:U10,D3:U3," ",1,1)</f>
        <v xml:space="preserve"> </v>
      </c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 t="s">
        <v>17</v>
      </c>
      <c r="X8" s="6"/>
    </row>
    <row r="9" spans="1:24">
      <c r="A9" s="2"/>
      <c r="B9" s="2" t="s">
        <v>18</v>
      </c>
      <c r="C9" s="2"/>
      <c r="D9" s="3">
        <f>D5*D7</f>
        <v>60</v>
      </c>
      <c r="E9" s="3">
        <f t="shared" ref="E9:U9" si="2">E5*E7</f>
        <v>120</v>
      </c>
      <c r="F9" s="3">
        <f t="shared" si="2"/>
        <v>180</v>
      </c>
      <c r="G9" s="3">
        <f t="shared" si="2"/>
        <v>240</v>
      </c>
      <c r="H9" s="3">
        <f t="shared" si="2"/>
        <v>300</v>
      </c>
      <c r="I9" s="3">
        <f t="shared" si="2"/>
        <v>360</v>
      </c>
      <c r="J9" s="3">
        <f t="shared" si="2"/>
        <v>420</v>
      </c>
      <c r="K9" s="3">
        <f t="shared" si="2"/>
        <v>480</v>
      </c>
      <c r="L9" s="3">
        <f t="shared" si="2"/>
        <v>540</v>
      </c>
      <c r="M9" s="3">
        <f t="shared" si="2"/>
        <v>600</v>
      </c>
      <c r="N9" s="3">
        <f t="shared" si="2"/>
        <v>660</v>
      </c>
      <c r="O9" s="3">
        <f t="shared" si="2"/>
        <v>720</v>
      </c>
      <c r="P9" s="3">
        <f t="shared" si="2"/>
        <v>780</v>
      </c>
      <c r="Q9" s="3">
        <f t="shared" si="2"/>
        <v>840</v>
      </c>
      <c r="R9" s="3">
        <f t="shared" si="2"/>
        <v>900</v>
      </c>
      <c r="S9" s="3">
        <f t="shared" si="2"/>
        <v>960</v>
      </c>
      <c r="T9" s="3">
        <f t="shared" si="2"/>
        <v>1020</v>
      </c>
      <c r="U9" s="3">
        <f t="shared" si="2"/>
        <v>1080</v>
      </c>
      <c r="V9" s="3"/>
      <c r="W9" s="2" t="s">
        <v>14</v>
      </c>
      <c r="X9" s="6">
        <f>_xlfn.XLOOKUP(X2,D15:U15,D3:U3," ",1,1)</f>
        <v>6</v>
      </c>
    </row>
    <row r="10" spans="1:24">
      <c r="A10" s="4" t="s">
        <v>10</v>
      </c>
      <c r="B10" s="4" t="s">
        <v>19</v>
      </c>
      <c r="C10" s="4"/>
      <c r="D10" s="5">
        <f>D9</f>
        <v>60</v>
      </c>
      <c r="E10" s="5">
        <f>D10+E9</f>
        <v>180</v>
      </c>
      <c r="F10" s="5">
        <f t="shared" ref="F10:U10" si="3">E10+F9</f>
        <v>360</v>
      </c>
      <c r="G10" s="5">
        <f t="shared" si="3"/>
        <v>600</v>
      </c>
      <c r="H10" s="5">
        <f t="shared" si="3"/>
        <v>900</v>
      </c>
      <c r="I10" s="5">
        <f t="shared" si="3"/>
        <v>1260</v>
      </c>
      <c r="J10" s="5">
        <f t="shared" si="3"/>
        <v>1680</v>
      </c>
      <c r="K10" s="5">
        <f t="shared" si="3"/>
        <v>2160</v>
      </c>
      <c r="L10" s="5">
        <f t="shared" si="3"/>
        <v>2700</v>
      </c>
      <c r="M10" s="5">
        <f t="shared" si="3"/>
        <v>3300</v>
      </c>
      <c r="N10" s="5">
        <f t="shared" si="3"/>
        <v>3960</v>
      </c>
      <c r="O10" s="5">
        <f t="shared" si="3"/>
        <v>4680</v>
      </c>
      <c r="P10" s="5">
        <f t="shared" si="3"/>
        <v>5460</v>
      </c>
      <c r="Q10" s="5">
        <f t="shared" si="3"/>
        <v>6300</v>
      </c>
      <c r="R10" s="5">
        <f t="shared" si="3"/>
        <v>7200</v>
      </c>
      <c r="S10" s="5">
        <f t="shared" si="3"/>
        <v>8160</v>
      </c>
      <c r="T10" s="5">
        <f t="shared" si="3"/>
        <v>9180</v>
      </c>
      <c r="U10" s="5">
        <f t="shared" si="3"/>
        <v>10260</v>
      </c>
      <c r="V10" s="3"/>
      <c r="W10" s="2" t="s">
        <v>16</v>
      </c>
      <c r="X10" s="6">
        <f>_xlfn.XLOOKUP((X2*2),D15:U15,D3:U3," ",1,1)</f>
        <v>8</v>
      </c>
    </row>
    <row r="11" spans="1:24">
      <c r="A11" s="1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/>
      <c r="B12" s="2" t="s">
        <v>20</v>
      </c>
      <c r="C12" s="3">
        <f>X4</f>
        <v>70</v>
      </c>
      <c r="D12" s="3">
        <f>$C$12</f>
        <v>70</v>
      </c>
      <c r="E12" s="3">
        <f t="shared" ref="E12:U12" si="4">$C$12</f>
        <v>70</v>
      </c>
      <c r="F12" s="3">
        <f t="shared" si="4"/>
        <v>70</v>
      </c>
      <c r="G12" s="3">
        <f t="shared" si="4"/>
        <v>70</v>
      </c>
      <c r="H12" s="3">
        <f t="shared" si="4"/>
        <v>70</v>
      </c>
      <c r="I12" s="3">
        <f t="shared" si="4"/>
        <v>70</v>
      </c>
      <c r="J12" s="3">
        <f t="shared" si="4"/>
        <v>70</v>
      </c>
      <c r="K12" s="3">
        <f t="shared" si="4"/>
        <v>70</v>
      </c>
      <c r="L12" s="3">
        <f t="shared" si="4"/>
        <v>70</v>
      </c>
      <c r="M12" s="3">
        <f t="shared" si="4"/>
        <v>70</v>
      </c>
      <c r="N12" s="3">
        <f t="shared" si="4"/>
        <v>70</v>
      </c>
      <c r="O12" s="3">
        <f t="shared" si="4"/>
        <v>70</v>
      </c>
      <c r="P12" s="3">
        <f t="shared" si="4"/>
        <v>70</v>
      </c>
      <c r="Q12" s="3">
        <f t="shared" si="4"/>
        <v>70</v>
      </c>
      <c r="R12" s="3">
        <f t="shared" si="4"/>
        <v>70</v>
      </c>
      <c r="S12" s="3">
        <f t="shared" si="4"/>
        <v>70</v>
      </c>
      <c r="T12" s="3">
        <f t="shared" si="4"/>
        <v>70</v>
      </c>
      <c r="U12" s="3">
        <f t="shared" si="4"/>
        <v>70</v>
      </c>
      <c r="V12" s="3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 t="s">
        <v>18</v>
      </c>
      <c r="C14" s="2"/>
      <c r="D14" s="3">
        <f>D5*D12</f>
        <v>420</v>
      </c>
      <c r="E14" s="3">
        <f t="shared" ref="E14:U14" si="5">E5*E12</f>
        <v>840</v>
      </c>
      <c r="F14" s="3">
        <f t="shared" si="5"/>
        <v>1260</v>
      </c>
      <c r="G14" s="3">
        <f t="shared" si="5"/>
        <v>1680</v>
      </c>
      <c r="H14" s="3">
        <f t="shared" si="5"/>
        <v>2100</v>
      </c>
      <c r="I14" s="3">
        <f t="shared" si="5"/>
        <v>2520</v>
      </c>
      <c r="J14" s="3">
        <f t="shared" si="5"/>
        <v>2940</v>
      </c>
      <c r="K14" s="3">
        <f t="shared" si="5"/>
        <v>3360</v>
      </c>
      <c r="L14" s="3">
        <f t="shared" si="5"/>
        <v>3780</v>
      </c>
      <c r="M14" s="3">
        <f t="shared" si="5"/>
        <v>4200</v>
      </c>
      <c r="N14" s="3">
        <f t="shared" si="5"/>
        <v>4620</v>
      </c>
      <c r="O14" s="3">
        <f t="shared" si="5"/>
        <v>5040</v>
      </c>
      <c r="P14" s="3">
        <f t="shared" si="5"/>
        <v>5460</v>
      </c>
      <c r="Q14" s="3">
        <f t="shared" si="5"/>
        <v>5880</v>
      </c>
      <c r="R14" s="3">
        <f t="shared" si="5"/>
        <v>6300</v>
      </c>
      <c r="S14" s="3">
        <f t="shared" si="5"/>
        <v>6720</v>
      </c>
      <c r="T14" s="3">
        <f t="shared" si="5"/>
        <v>7140</v>
      </c>
      <c r="U14" s="3">
        <f t="shared" si="5"/>
        <v>7560</v>
      </c>
      <c r="V14" s="3"/>
      <c r="W14" s="2"/>
      <c r="X14" s="2"/>
    </row>
    <row r="15" spans="1:24">
      <c r="A15" s="4" t="s">
        <v>10</v>
      </c>
      <c r="B15" s="4" t="s">
        <v>19</v>
      </c>
      <c r="C15" s="4"/>
      <c r="D15" s="5">
        <f>D14</f>
        <v>420</v>
      </c>
      <c r="E15" s="5">
        <f>D15+E14</f>
        <v>1260</v>
      </c>
      <c r="F15" s="5">
        <f t="shared" ref="F15:U15" si="6">E15+F14</f>
        <v>2520</v>
      </c>
      <c r="G15" s="5">
        <f t="shared" si="6"/>
        <v>4200</v>
      </c>
      <c r="H15" s="5">
        <f t="shared" si="6"/>
        <v>6300</v>
      </c>
      <c r="I15" s="5">
        <f t="shared" si="6"/>
        <v>8820</v>
      </c>
      <c r="J15" s="5">
        <f t="shared" si="6"/>
        <v>11760</v>
      </c>
      <c r="K15" s="5">
        <f t="shared" si="6"/>
        <v>15120</v>
      </c>
      <c r="L15" s="5">
        <f t="shared" si="6"/>
        <v>18900</v>
      </c>
      <c r="M15" s="5">
        <f t="shared" si="6"/>
        <v>23100</v>
      </c>
      <c r="N15" s="5">
        <f t="shared" si="6"/>
        <v>27720</v>
      </c>
      <c r="O15" s="5">
        <f t="shared" si="6"/>
        <v>32760</v>
      </c>
      <c r="P15" s="5">
        <f t="shared" si="6"/>
        <v>38220</v>
      </c>
      <c r="Q15" s="5">
        <f t="shared" si="6"/>
        <v>44100</v>
      </c>
      <c r="R15" s="5">
        <f t="shared" si="6"/>
        <v>50400</v>
      </c>
      <c r="S15" s="5">
        <f t="shared" si="6"/>
        <v>57120</v>
      </c>
      <c r="T15" s="5">
        <f t="shared" si="6"/>
        <v>64260</v>
      </c>
      <c r="U15" s="5">
        <f t="shared" si="6"/>
        <v>71820</v>
      </c>
      <c r="V15" s="3"/>
      <c r="W15" s="2"/>
      <c r="X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conditionalFormatting sqref="D10:U10">
    <cfRule type="cellIs" dxfId="5" priority="2" operator="greaterThan">
      <formula>$X$2</formula>
    </cfRule>
  </conditionalFormatting>
  <conditionalFormatting sqref="D15:U15">
    <cfRule type="cellIs" dxfId="4" priority="1" operator="greaterThan">
      <formula>$X$2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2C29-1F5C-4C66-B6B2-79B2A3110C12}">
  <dimension ref="A1:X16"/>
  <sheetViews>
    <sheetView topLeftCell="F6" workbookViewId="0">
      <selection activeCell="L17" sqref="L17"/>
    </sheetView>
  </sheetViews>
  <sheetFormatPr defaultRowHeight="15"/>
  <cols>
    <col min="1" max="1" width="21.5703125" bestFit="1" customWidth="1"/>
    <col min="2" max="2" width="26" bestFit="1" customWidth="1"/>
    <col min="3" max="3" width="4.85546875" bestFit="1" customWidth="1"/>
    <col min="23" max="23" width="28.28515625" bestFit="1" customWidth="1"/>
  </cols>
  <sheetData>
    <row r="1" spans="1:24">
      <c r="A1" s="1" t="s">
        <v>0</v>
      </c>
      <c r="B1" s="1" t="s">
        <v>21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 t="s">
        <v>2</v>
      </c>
      <c r="X1" s="2"/>
    </row>
    <row r="2" spans="1:24">
      <c r="A2" s="1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5</v>
      </c>
      <c r="X2" s="3">
        <v>6500</v>
      </c>
    </row>
    <row r="3" spans="1:24">
      <c r="A3" s="1" t="s">
        <v>6</v>
      </c>
      <c r="B3" s="2"/>
      <c r="C3" s="2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/>
      <c r="W3" s="2" t="s">
        <v>7</v>
      </c>
      <c r="X3" s="3">
        <v>20</v>
      </c>
    </row>
    <row r="4" spans="1:24">
      <c r="A4" s="2"/>
      <c r="B4" s="2" t="s">
        <v>8</v>
      </c>
      <c r="C4" s="2"/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5</v>
      </c>
      <c r="Q4" s="2">
        <v>5</v>
      </c>
      <c r="R4" s="2">
        <v>5</v>
      </c>
      <c r="S4" s="2">
        <v>5</v>
      </c>
      <c r="T4" s="2">
        <v>5</v>
      </c>
      <c r="U4" s="2">
        <v>5</v>
      </c>
      <c r="V4" s="2"/>
      <c r="W4" s="2" t="s">
        <v>9</v>
      </c>
      <c r="X4" s="3">
        <v>62</v>
      </c>
    </row>
    <row r="5" spans="1:24">
      <c r="A5" s="4" t="s">
        <v>10</v>
      </c>
      <c r="B5" s="4" t="s">
        <v>11</v>
      </c>
      <c r="C5" s="4"/>
      <c r="D5" s="4">
        <f>D4</f>
        <v>5</v>
      </c>
      <c r="E5" s="4">
        <f>D5+E4</f>
        <v>10</v>
      </c>
      <c r="F5" s="4">
        <f t="shared" ref="F5:P5" si="0">E5+F4</f>
        <v>15</v>
      </c>
      <c r="G5" s="4">
        <f t="shared" si="0"/>
        <v>20</v>
      </c>
      <c r="H5" s="4">
        <f t="shared" si="0"/>
        <v>25</v>
      </c>
      <c r="I5" s="4">
        <f t="shared" si="0"/>
        <v>30</v>
      </c>
      <c r="J5" s="4">
        <f t="shared" si="0"/>
        <v>35</v>
      </c>
      <c r="K5" s="4">
        <f t="shared" si="0"/>
        <v>40</v>
      </c>
      <c r="L5" s="4">
        <f t="shared" si="0"/>
        <v>45</v>
      </c>
      <c r="M5" s="4">
        <f t="shared" si="0"/>
        <v>50</v>
      </c>
      <c r="N5" s="4">
        <f t="shared" si="0"/>
        <v>55</v>
      </c>
      <c r="O5" s="4">
        <f t="shared" si="0"/>
        <v>60</v>
      </c>
      <c r="P5" s="4">
        <f t="shared" si="0"/>
        <v>65</v>
      </c>
      <c r="Q5" s="4">
        <f t="shared" ref="Q5" si="1">P5+Q4</f>
        <v>70</v>
      </c>
      <c r="R5" s="4">
        <f t="shared" ref="R5" si="2">Q5+R4</f>
        <v>75</v>
      </c>
      <c r="S5" s="4">
        <f t="shared" ref="S5" si="3">R5+S4</f>
        <v>80</v>
      </c>
      <c r="T5" s="4">
        <f t="shared" ref="T5" si="4">S5+T4</f>
        <v>85</v>
      </c>
      <c r="U5" s="4">
        <f t="shared" ref="U5" si="5">T5+U4</f>
        <v>90</v>
      </c>
      <c r="V5" s="2"/>
      <c r="W5" s="1" t="s">
        <v>12</v>
      </c>
      <c r="X5" s="2"/>
    </row>
    <row r="6" spans="1:24">
      <c r="A6" s="1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14</v>
      </c>
      <c r="X6" s="6">
        <f>_xlfn.XLOOKUP(X2,D10:U10,D3:U3," ",1,1)</f>
        <v>11</v>
      </c>
    </row>
    <row r="7" spans="1:24">
      <c r="A7" s="2"/>
      <c r="B7" s="2" t="s">
        <v>15</v>
      </c>
      <c r="C7" s="3">
        <f>X3</f>
        <v>20</v>
      </c>
      <c r="D7" s="3">
        <f>$C$7</f>
        <v>20</v>
      </c>
      <c r="E7" s="3">
        <f t="shared" ref="E7:U7" si="6">$C$7</f>
        <v>20</v>
      </c>
      <c r="F7" s="3">
        <f t="shared" si="6"/>
        <v>20</v>
      </c>
      <c r="G7" s="3">
        <f t="shared" si="6"/>
        <v>20</v>
      </c>
      <c r="H7" s="3">
        <f t="shared" si="6"/>
        <v>20</v>
      </c>
      <c r="I7" s="3">
        <f t="shared" si="6"/>
        <v>20</v>
      </c>
      <c r="J7" s="3">
        <f t="shared" si="6"/>
        <v>20</v>
      </c>
      <c r="K7" s="3">
        <f t="shared" si="6"/>
        <v>20</v>
      </c>
      <c r="L7" s="3">
        <f t="shared" si="6"/>
        <v>20</v>
      </c>
      <c r="M7" s="3">
        <f t="shared" si="6"/>
        <v>20</v>
      </c>
      <c r="N7" s="3">
        <f t="shared" si="6"/>
        <v>20</v>
      </c>
      <c r="O7" s="3">
        <f t="shared" si="6"/>
        <v>20</v>
      </c>
      <c r="P7" s="3">
        <f t="shared" si="6"/>
        <v>20</v>
      </c>
      <c r="Q7" s="3">
        <f t="shared" si="6"/>
        <v>20</v>
      </c>
      <c r="R7" s="3">
        <f t="shared" si="6"/>
        <v>20</v>
      </c>
      <c r="S7" s="3">
        <f t="shared" si="6"/>
        <v>20</v>
      </c>
      <c r="T7" s="3">
        <f t="shared" si="6"/>
        <v>20</v>
      </c>
      <c r="U7" s="3">
        <f t="shared" si="6"/>
        <v>20</v>
      </c>
      <c r="V7" s="3"/>
      <c r="W7" s="2" t="s">
        <v>16</v>
      </c>
      <c r="X7" s="6">
        <f>_xlfn.XLOOKUP((X2*2),D10:U10,D3:U3," ",1,1)</f>
        <v>16</v>
      </c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 t="s">
        <v>17</v>
      </c>
      <c r="X8" s="6"/>
    </row>
    <row r="9" spans="1:24">
      <c r="A9" s="2"/>
      <c r="B9" s="2" t="s">
        <v>18</v>
      </c>
      <c r="C9" s="2"/>
      <c r="D9" s="3">
        <f>D5*D7</f>
        <v>100</v>
      </c>
      <c r="E9" s="3">
        <f t="shared" ref="E9:P9" si="7">E5*E7</f>
        <v>200</v>
      </c>
      <c r="F9" s="3">
        <f t="shared" si="7"/>
        <v>300</v>
      </c>
      <c r="G9" s="3">
        <f t="shared" si="7"/>
        <v>400</v>
      </c>
      <c r="H9" s="3">
        <f t="shared" si="7"/>
        <v>500</v>
      </c>
      <c r="I9" s="3">
        <f t="shared" si="7"/>
        <v>600</v>
      </c>
      <c r="J9" s="3">
        <f t="shared" si="7"/>
        <v>700</v>
      </c>
      <c r="K9" s="3">
        <f t="shared" si="7"/>
        <v>800</v>
      </c>
      <c r="L9" s="3">
        <f t="shared" si="7"/>
        <v>900</v>
      </c>
      <c r="M9" s="3">
        <f t="shared" si="7"/>
        <v>1000</v>
      </c>
      <c r="N9" s="3">
        <f t="shared" si="7"/>
        <v>1100</v>
      </c>
      <c r="O9" s="3">
        <f t="shared" si="7"/>
        <v>1200</v>
      </c>
      <c r="P9" s="3">
        <f t="shared" si="7"/>
        <v>1300</v>
      </c>
      <c r="Q9" s="3">
        <f t="shared" ref="Q9:U9" si="8">Q5*Q7</f>
        <v>1400</v>
      </c>
      <c r="R9" s="3">
        <f t="shared" si="8"/>
        <v>1500</v>
      </c>
      <c r="S9" s="3">
        <f t="shared" si="8"/>
        <v>1600</v>
      </c>
      <c r="T9" s="3">
        <f t="shared" si="8"/>
        <v>1700</v>
      </c>
      <c r="U9" s="3">
        <f t="shared" si="8"/>
        <v>1800</v>
      </c>
      <c r="V9" s="3"/>
      <c r="W9" s="2" t="s">
        <v>14</v>
      </c>
      <c r="X9" s="6">
        <f>_xlfn.XLOOKUP(X2,D15:U15,D3:U3," ",1,1)</f>
        <v>6</v>
      </c>
    </row>
    <row r="10" spans="1:24">
      <c r="A10" s="4" t="s">
        <v>10</v>
      </c>
      <c r="B10" s="4" t="s">
        <v>19</v>
      </c>
      <c r="C10" s="4"/>
      <c r="D10" s="5">
        <f>D9</f>
        <v>100</v>
      </c>
      <c r="E10" s="5">
        <f>D10+E9</f>
        <v>300</v>
      </c>
      <c r="F10" s="5">
        <f t="shared" ref="F10:P10" si="9">E10+F9</f>
        <v>600</v>
      </c>
      <c r="G10" s="5">
        <f t="shared" si="9"/>
        <v>1000</v>
      </c>
      <c r="H10" s="5">
        <f t="shared" si="9"/>
        <v>1500</v>
      </c>
      <c r="I10" s="5">
        <f t="shared" si="9"/>
        <v>2100</v>
      </c>
      <c r="J10" s="5">
        <f t="shared" si="9"/>
        <v>2800</v>
      </c>
      <c r="K10" s="5">
        <f t="shared" si="9"/>
        <v>3600</v>
      </c>
      <c r="L10" s="5">
        <f t="shared" si="9"/>
        <v>4500</v>
      </c>
      <c r="M10" s="5">
        <f t="shared" si="9"/>
        <v>5500</v>
      </c>
      <c r="N10" s="5">
        <f t="shared" si="9"/>
        <v>6600</v>
      </c>
      <c r="O10" s="5">
        <f t="shared" si="9"/>
        <v>7800</v>
      </c>
      <c r="P10" s="5">
        <f t="shared" si="9"/>
        <v>9100</v>
      </c>
      <c r="Q10" s="5">
        <f t="shared" ref="Q10" si="10">P10+Q9</f>
        <v>10500</v>
      </c>
      <c r="R10" s="5">
        <f t="shared" ref="R10" si="11">Q10+R9</f>
        <v>12000</v>
      </c>
      <c r="S10" s="5">
        <f t="shared" ref="S10" si="12">R10+S9</f>
        <v>13600</v>
      </c>
      <c r="T10" s="5">
        <f t="shared" ref="T10" si="13">S10+T9</f>
        <v>15300</v>
      </c>
      <c r="U10" s="5">
        <f t="shared" ref="U10" si="14">T10+U9</f>
        <v>17100</v>
      </c>
      <c r="V10" s="3"/>
      <c r="W10" s="2" t="s">
        <v>16</v>
      </c>
      <c r="X10" s="6">
        <f>_xlfn.XLOOKUP((X2*2),D15:U15,D3:U3," ",1,1)</f>
        <v>9</v>
      </c>
    </row>
    <row r="11" spans="1:24">
      <c r="A11" s="1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/>
      <c r="B12" s="2" t="s">
        <v>20</v>
      </c>
      <c r="C12" s="3">
        <f>X4</f>
        <v>62</v>
      </c>
      <c r="D12" s="3">
        <f>$C$12</f>
        <v>62</v>
      </c>
      <c r="E12" s="3">
        <f t="shared" ref="E12:U12" si="15">$C$12</f>
        <v>62</v>
      </c>
      <c r="F12" s="3">
        <f t="shared" si="15"/>
        <v>62</v>
      </c>
      <c r="G12" s="3">
        <f t="shared" si="15"/>
        <v>62</v>
      </c>
      <c r="H12" s="3">
        <f t="shared" si="15"/>
        <v>62</v>
      </c>
      <c r="I12" s="3">
        <f t="shared" si="15"/>
        <v>62</v>
      </c>
      <c r="J12" s="3">
        <f t="shared" si="15"/>
        <v>62</v>
      </c>
      <c r="K12" s="3">
        <f t="shared" si="15"/>
        <v>62</v>
      </c>
      <c r="L12" s="3">
        <f t="shared" si="15"/>
        <v>62</v>
      </c>
      <c r="M12" s="3">
        <f t="shared" si="15"/>
        <v>62</v>
      </c>
      <c r="N12" s="3">
        <f t="shared" si="15"/>
        <v>62</v>
      </c>
      <c r="O12" s="3">
        <f t="shared" si="15"/>
        <v>62</v>
      </c>
      <c r="P12" s="3">
        <f t="shared" si="15"/>
        <v>62</v>
      </c>
      <c r="Q12" s="3">
        <f t="shared" si="15"/>
        <v>62</v>
      </c>
      <c r="R12" s="3">
        <f t="shared" si="15"/>
        <v>62</v>
      </c>
      <c r="S12" s="3">
        <f t="shared" si="15"/>
        <v>62</v>
      </c>
      <c r="T12" s="3">
        <f t="shared" si="15"/>
        <v>62</v>
      </c>
      <c r="U12" s="3">
        <f t="shared" si="15"/>
        <v>62</v>
      </c>
      <c r="V12" s="3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 t="s">
        <v>18</v>
      </c>
      <c r="C14" s="2"/>
      <c r="D14" s="3">
        <f>D5*D12</f>
        <v>310</v>
      </c>
      <c r="E14" s="3">
        <f t="shared" ref="E14:P14" si="16">E5*E12</f>
        <v>620</v>
      </c>
      <c r="F14" s="3">
        <f t="shared" si="16"/>
        <v>930</v>
      </c>
      <c r="G14" s="3">
        <f t="shared" si="16"/>
        <v>1240</v>
      </c>
      <c r="H14" s="3">
        <f t="shared" si="16"/>
        <v>1550</v>
      </c>
      <c r="I14" s="3">
        <f t="shared" si="16"/>
        <v>1860</v>
      </c>
      <c r="J14" s="3">
        <f t="shared" si="16"/>
        <v>2170</v>
      </c>
      <c r="K14" s="3">
        <f t="shared" si="16"/>
        <v>2480</v>
      </c>
      <c r="L14" s="3">
        <f t="shared" si="16"/>
        <v>2790</v>
      </c>
      <c r="M14" s="3">
        <f t="shared" si="16"/>
        <v>3100</v>
      </c>
      <c r="N14" s="3">
        <f t="shared" si="16"/>
        <v>3410</v>
      </c>
      <c r="O14" s="3">
        <f t="shared" si="16"/>
        <v>3720</v>
      </c>
      <c r="P14" s="3">
        <f t="shared" si="16"/>
        <v>4030</v>
      </c>
      <c r="Q14" s="3">
        <f t="shared" ref="Q14:U14" si="17">Q5*Q12</f>
        <v>4340</v>
      </c>
      <c r="R14" s="3">
        <f t="shared" si="17"/>
        <v>4650</v>
      </c>
      <c r="S14" s="3">
        <f t="shared" si="17"/>
        <v>4960</v>
      </c>
      <c r="T14" s="3">
        <f t="shared" si="17"/>
        <v>5270</v>
      </c>
      <c r="U14" s="3">
        <f t="shared" si="17"/>
        <v>5580</v>
      </c>
      <c r="V14" s="3"/>
      <c r="W14" s="2"/>
      <c r="X14" s="2"/>
    </row>
    <row r="15" spans="1:24">
      <c r="A15" s="4" t="s">
        <v>10</v>
      </c>
      <c r="B15" s="4" t="s">
        <v>19</v>
      </c>
      <c r="C15" s="4"/>
      <c r="D15" s="5">
        <f>D14</f>
        <v>310</v>
      </c>
      <c r="E15" s="5">
        <f>D15+E14</f>
        <v>930</v>
      </c>
      <c r="F15" s="5">
        <f t="shared" ref="F15:P15" si="18">E15+F14</f>
        <v>1860</v>
      </c>
      <c r="G15" s="5">
        <f t="shared" si="18"/>
        <v>3100</v>
      </c>
      <c r="H15" s="5">
        <f t="shared" si="18"/>
        <v>4650</v>
      </c>
      <c r="I15" s="5">
        <f t="shared" si="18"/>
        <v>6510</v>
      </c>
      <c r="J15" s="5">
        <f t="shared" si="18"/>
        <v>8680</v>
      </c>
      <c r="K15" s="5">
        <f t="shared" si="18"/>
        <v>11160</v>
      </c>
      <c r="L15" s="5">
        <f t="shared" si="18"/>
        <v>13950</v>
      </c>
      <c r="M15" s="5">
        <f t="shared" si="18"/>
        <v>17050</v>
      </c>
      <c r="N15" s="5">
        <f t="shared" si="18"/>
        <v>20460</v>
      </c>
      <c r="O15" s="5">
        <f t="shared" si="18"/>
        <v>24180</v>
      </c>
      <c r="P15" s="5">
        <f t="shared" si="18"/>
        <v>28210</v>
      </c>
      <c r="Q15" s="5">
        <f t="shared" ref="Q15" si="19">P15+Q14</f>
        <v>32550</v>
      </c>
      <c r="R15" s="5">
        <f t="shared" ref="R15" si="20">Q15+R14</f>
        <v>37200</v>
      </c>
      <c r="S15" s="5">
        <f t="shared" ref="S15" si="21">R15+S14</f>
        <v>42160</v>
      </c>
      <c r="T15" s="5">
        <f t="shared" ref="T15" si="22">S15+T14</f>
        <v>47430</v>
      </c>
      <c r="U15" s="5">
        <f t="shared" ref="U15" si="23">T15+U14</f>
        <v>53010</v>
      </c>
      <c r="V15" s="3"/>
      <c r="W15" s="2"/>
      <c r="X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conditionalFormatting sqref="D10:U10">
    <cfRule type="cellIs" dxfId="3" priority="2" operator="greaterThan">
      <formula>$X$2</formula>
    </cfRule>
  </conditionalFormatting>
  <conditionalFormatting sqref="D15:U15">
    <cfRule type="cellIs" dxfId="2" priority="1" operator="greaterThan">
      <formula>$X$2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29A3-DEFD-4828-A994-B8B40D9417B4}">
  <dimension ref="A1:X16"/>
  <sheetViews>
    <sheetView tabSelected="1" topLeftCell="B1" workbookViewId="0">
      <selection activeCell="D15" sqref="D15"/>
    </sheetView>
  </sheetViews>
  <sheetFormatPr defaultRowHeight="15"/>
  <cols>
    <col min="1" max="1" width="21.5703125" bestFit="1" customWidth="1"/>
    <col min="2" max="2" width="26" bestFit="1" customWidth="1"/>
    <col min="3" max="3" width="4.85546875" bestFit="1" customWidth="1"/>
    <col min="23" max="23" width="28.28515625" bestFit="1" customWidth="1"/>
  </cols>
  <sheetData>
    <row r="1" spans="1:24">
      <c r="A1" s="1" t="s">
        <v>0</v>
      </c>
      <c r="B1" s="1" t="s">
        <v>22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 t="s">
        <v>2</v>
      </c>
      <c r="X1" s="2"/>
    </row>
    <row r="2" spans="1:24">
      <c r="A2" s="1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5</v>
      </c>
      <c r="X2" s="3">
        <v>6500</v>
      </c>
    </row>
    <row r="3" spans="1:24">
      <c r="A3" s="1" t="s">
        <v>6</v>
      </c>
      <c r="B3" s="2"/>
      <c r="C3" s="2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/>
      <c r="W3" s="2" t="s">
        <v>7</v>
      </c>
      <c r="X3" s="3">
        <v>20</v>
      </c>
    </row>
    <row r="4" spans="1:24">
      <c r="A4" s="2"/>
      <c r="B4" s="2" t="s">
        <v>8</v>
      </c>
      <c r="C4" s="2"/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5</v>
      </c>
      <c r="Q4" s="2">
        <v>5</v>
      </c>
      <c r="R4" s="2">
        <v>5</v>
      </c>
      <c r="S4" s="2">
        <v>5</v>
      </c>
      <c r="T4" s="2">
        <v>5</v>
      </c>
      <c r="U4" s="2">
        <v>5</v>
      </c>
      <c r="V4" s="2"/>
      <c r="W4" s="2" t="s">
        <v>9</v>
      </c>
      <c r="X4" s="3">
        <v>62</v>
      </c>
    </row>
    <row r="5" spans="1:24">
      <c r="A5" s="4" t="s">
        <v>10</v>
      </c>
      <c r="B5" s="4" t="s">
        <v>11</v>
      </c>
      <c r="C5" s="4"/>
      <c r="D5" s="4">
        <f>D4</f>
        <v>5</v>
      </c>
      <c r="E5" s="4">
        <f>D5+E4</f>
        <v>10</v>
      </c>
      <c r="F5" s="4">
        <f t="shared" ref="F5:U5" si="0">E5+F4</f>
        <v>15</v>
      </c>
      <c r="G5" s="4">
        <f t="shared" si="0"/>
        <v>20</v>
      </c>
      <c r="H5" s="4">
        <f t="shared" si="0"/>
        <v>25</v>
      </c>
      <c r="I5" s="4">
        <f t="shared" si="0"/>
        <v>30</v>
      </c>
      <c r="J5" s="4">
        <f t="shared" si="0"/>
        <v>35</v>
      </c>
      <c r="K5" s="4">
        <f t="shared" si="0"/>
        <v>40</v>
      </c>
      <c r="L5" s="4">
        <f t="shared" si="0"/>
        <v>45</v>
      </c>
      <c r="M5" s="4">
        <f t="shared" si="0"/>
        <v>50</v>
      </c>
      <c r="N5" s="4">
        <f t="shared" si="0"/>
        <v>55</v>
      </c>
      <c r="O5" s="4">
        <f t="shared" si="0"/>
        <v>60</v>
      </c>
      <c r="P5" s="4">
        <f t="shared" si="0"/>
        <v>65</v>
      </c>
      <c r="Q5" s="4">
        <f t="shared" si="0"/>
        <v>70</v>
      </c>
      <c r="R5" s="4">
        <f t="shared" si="0"/>
        <v>75</v>
      </c>
      <c r="S5" s="4">
        <f t="shared" si="0"/>
        <v>80</v>
      </c>
      <c r="T5" s="4">
        <f t="shared" si="0"/>
        <v>85</v>
      </c>
      <c r="U5" s="4">
        <f t="shared" si="0"/>
        <v>90</v>
      </c>
      <c r="V5" s="2"/>
      <c r="W5" s="1" t="s">
        <v>12</v>
      </c>
      <c r="X5" s="2"/>
    </row>
    <row r="6" spans="1:24">
      <c r="A6" s="1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14</v>
      </c>
      <c r="X6" s="6">
        <f>_xlfn.XLOOKUP(X2,D10:U10,D3:U3," ",1,1)</f>
        <v>11</v>
      </c>
    </row>
    <row r="7" spans="1:24">
      <c r="A7" s="2"/>
      <c r="B7" s="2" t="s">
        <v>15</v>
      </c>
      <c r="C7" s="3">
        <f>X3</f>
        <v>20</v>
      </c>
      <c r="D7" s="3">
        <f>$C$7</f>
        <v>20</v>
      </c>
      <c r="E7" s="3">
        <f t="shared" ref="E7:U7" si="1">$C$7</f>
        <v>20</v>
      </c>
      <c r="F7" s="3">
        <f t="shared" si="1"/>
        <v>20</v>
      </c>
      <c r="G7" s="3">
        <f t="shared" si="1"/>
        <v>20</v>
      </c>
      <c r="H7" s="3">
        <f t="shared" si="1"/>
        <v>20</v>
      </c>
      <c r="I7" s="3">
        <f t="shared" si="1"/>
        <v>20</v>
      </c>
      <c r="J7" s="3">
        <f t="shared" si="1"/>
        <v>20</v>
      </c>
      <c r="K7" s="3">
        <f t="shared" si="1"/>
        <v>20</v>
      </c>
      <c r="L7" s="3">
        <f t="shared" si="1"/>
        <v>20</v>
      </c>
      <c r="M7" s="3">
        <f t="shared" si="1"/>
        <v>20</v>
      </c>
      <c r="N7" s="3">
        <f t="shared" si="1"/>
        <v>20</v>
      </c>
      <c r="O7" s="3">
        <f t="shared" si="1"/>
        <v>20</v>
      </c>
      <c r="P7" s="3">
        <f t="shared" si="1"/>
        <v>20</v>
      </c>
      <c r="Q7" s="3">
        <f t="shared" si="1"/>
        <v>20</v>
      </c>
      <c r="R7" s="3">
        <f t="shared" si="1"/>
        <v>20</v>
      </c>
      <c r="S7" s="3">
        <f t="shared" si="1"/>
        <v>20</v>
      </c>
      <c r="T7" s="3">
        <f t="shared" si="1"/>
        <v>20</v>
      </c>
      <c r="U7" s="3">
        <f t="shared" si="1"/>
        <v>20</v>
      </c>
      <c r="V7" s="3"/>
      <c r="W7" s="2" t="s">
        <v>23</v>
      </c>
      <c r="X7" s="6">
        <f>_xlfn.XLOOKUP((X2*2),D10:U10,D3:U3," ",1,1)</f>
        <v>16</v>
      </c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 t="s">
        <v>17</v>
      </c>
      <c r="X8" s="6"/>
    </row>
    <row r="9" spans="1:24">
      <c r="A9" s="2"/>
      <c r="B9" s="2" t="s">
        <v>18</v>
      </c>
      <c r="C9" s="2"/>
      <c r="D9" s="3">
        <f>D5*D7</f>
        <v>100</v>
      </c>
      <c r="E9" s="3">
        <f t="shared" ref="E9:U9" si="2">E5*E7</f>
        <v>200</v>
      </c>
      <c r="F9" s="3">
        <f t="shared" si="2"/>
        <v>300</v>
      </c>
      <c r="G9" s="3">
        <f t="shared" si="2"/>
        <v>400</v>
      </c>
      <c r="H9" s="3">
        <f t="shared" si="2"/>
        <v>500</v>
      </c>
      <c r="I9" s="3">
        <f t="shared" si="2"/>
        <v>600</v>
      </c>
      <c r="J9" s="3">
        <f t="shared" si="2"/>
        <v>700</v>
      </c>
      <c r="K9" s="3">
        <f t="shared" si="2"/>
        <v>800</v>
      </c>
      <c r="L9" s="3">
        <f t="shared" si="2"/>
        <v>900</v>
      </c>
      <c r="M9" s="3">
        <f t="shared" si="2"/>
        <v>1000</v>
      </c>
      <c r="N9" s="3">
        <f t="shared" si="2"/>
        <v>1100</v>
      </c>
      <c r="O9" s="3">
        <f t="shared" si="2"/>
        <v>1200</v>
      </c>
      <c r="P9" s="3">
        <f t="shared" si="2"/>
        <v>1300</v>
      </c>
      <c r="Q9" s="3">
        <f t="shared" si="2"/>
        <v>1400</v>
      </c>
      <c r="R9" s="3">
        <f t="shared" si="2"/>
        <v>1500</v>
      </c>
      <c r="S9" s="3">
        <f t="shared" si="2"/>
        <v>1600</v>
      </c>
      <c r="T9" s="3">
        <f t="shared" si="2"/>
        <v>1700</v>
      </c>
      <c r="U9" s="3">
        <f t="shared" si="2"/>
        <v>1800</v>
      </c>
      <c r="V9" s="3"/>
      <c r="W9" s="2" t="s">
        <v>14</v>
      </c>
      <c r="X9" s="6">
        <f>_xlfn.XLOOKUP(X2,D15:U15,D3:U3," ",1,1)</f>
        <v>6</v>
      </c>
    </row>
    <row r="10" spans="1:24">
      <c r="A10" s="4" t="s">
        <v>10</v>
      </c>
      <c r="B10" s="4" t="s">
        <v>19</v>
      </c>
      <c r="C10" s="4"/>
      <c r="D10" s="5">
        <f>D9</f>
        <v>100</v>
      </c>
      <c r="E10" s="5">
        <f>D10+E9</f>
        <v>300</v>
      </c>
      <c r="F10" s="5">
        <f t="shared" ref="F10:U10" si="3">E10+F9</f>
        <v>600</v>
      </c>
      <c r="G10" s="5">
        <f t="shared" si="3"/>
        <v>1000</v>
      </c>
      <c r="H10" s="5">
        <f t="shared" si="3"/>
        <v>1500</v>
      </c>
      <c r="I10" s="5">
        <f t="shared" si="3"/>
        <v>2100</v>
      </c>
      <c r="J10" s="5">
        <f t="shared" si="3"/>
        <v>2800</v>
      </c>
      <c r="K10" s="5">
        <f t="shared" si="3"/>
        <v>3600</v>
      </c>
      <c r="L10" s="5">
        <f t="shared" si="3"/>
        <v>4500</v>
      </c>
      <c r="M10" s="5">
        <f t="shared" si="3"/>
        <v>5500</v>
      </c>
      <c r="N10" s="5">
        <f t="shared" si="3"/>
        <v>6600</v>
      </c>
      <c r="O10" s="5">
        <f t="shared" si="3"/>
        <v>7800</v>
      </c>
      <c r="P10" s="5">
        <f t="shared" si="3"/>
        <v>9100</v>
      </c>
      <c r="Q10" s="5">
        <f t="shared" si="3"/>
        <v>10500</v>
      </c>
      <c r="R10" s="5">
        <f t="shared" si="3"/>
        <v>12000</v>
      </c>
      <c r="S10" s="5">
        <f t="shared" si="3"/>
        <v>13600</v>
      </c>
      <c r="T10" s="5">
        <f t="shared" si="3"/>
        <v>15300</v>
      </c>
      <c r="U10" s="5">
        <f t="shared" si="3"/>
        <v>17100</v>
      </c>
      <c r="V10" s="3"/>
      <c r="W10" s="2" t="s">
        <v>23</v>
      </c>
      <c r="X10" s="6">
        <f>_xlfn.XLOOKUP((X2*2),D15:U15,D3:U3," ",1,1)</f>
        <v>9</v>
      </c>
    </row>
    <row r="11" spans="1:24">
      <c r="A11" s="1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/>
      <c r="B12" s="2" t="s">
        <v>20</v>
      </c>
      <c r="C12" s="3">
        <f>X4</f>
        <v>62</v>
      </c>
      <c r="D12" s="3">
        <f>$C$12</f>
        <v>62</v>
      </c>
      <c r="E12" s="3">
        <f t="shared" ref="E12:U12" si="4">$C$12</f>
        <v>62</v>
      </c>
      <c r="F12" s="3">
        <f t="shared" si="4"/>
        <v>62</v>
      </c>
      <c r="G12" s="3">
        <f t="shared" si="4"/>
        <v>62</v>
      </c>
      <c r="H12" s="3">
        <f t="shared" si="4"/>
        <v>62</v>
      </c>
      <c r="I12" s="3">
        <f t="shared" si="4"/>
        <v>62</v>
      </c>
      <c r="J12" s="3">
        <f t="shared" si="4"/>
        <v>62</v>
      </c>
      <c r="K12" s="3">
        <f t="shared" si="4"/>
        <v>62</v>
      </c>
      <c r="L12" s="3">
        <f t="shared" si="4"/>
        <v>62</v>
      </c>
      <c r="M12" s="3">
        <f t="shared" si="4"/>
        <v>62</v>
      </c>
      <c r="N12" s="3">
        <f t="shared" si="4"/>
        <v>62</v>
      </c>
      <c r="O12" s="3">
        <f t="shared" si="4"/>
        <v>62</v>
      </c>
      <c r="P12" s="3">
        <f t="shared" si="4"/>
        <v>62</v>
      </c>
      <c r="Q12" s="3">
        <f t="shared" si="4"/>
        <v>62</v>
      </c>
      <c r="R12" s="3">
        <f t="shared" si="4"/>
        <v>62</v>
      </c>
      <c r="S12" s="3">
        <f t="shared" si="4"/>
        <v>62</v>
      </c>
      <c r="T12" s="3">
        <f t="shared" si="4"/>
        <v>62</v>
      </c>
      <c r="U12" s="3">
        <f t="shared" si="4"/>
        <v>62</v>
      </c>
      <c r="V12" s="3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 t="s">
        <v>18</v>
      </c>
      <c r="C14" s="2"/>
      <c r="D14" s="3">
        <f>D5*D12</f>
        <v>310</v>
      </c>
      <c r="E14" s="3">
        <f t="shared" ref="E14:U14" si="5">E5*E12</f>
        <v>620</v>
      </c>
      <c r="F14" s="3">
        <f t="shared" si="5"/>
        <v>930</v>
      </c>
      <c r="G14" s="3">
        <f t="shared" si="5"/>
        <v>1240</v>
      </c>
      <c r="H14" s="3">
        <f t="shared" si="5"/>
        <v>1550</v>
      </c>
      <c r="I14" s="3">
        <f t="shared" si="5"/>
        <v>1860</v>
      </c>
      <c r="J14" s="3">
        <f t="shared" si="5"/>
        <v>2170</v>
      </c>
      <c r="K14" s="3">
        <f t="shared" si="5"/>
        <v>2480</v>
      </c>
      <c r="L14" s="3">
        <f t="shared" si="5"/>
        <v>2790</v>
      </c>
      <c r="M14" s="3">
        <f t="shared" si="5"/>
        <v>3100</v>
      </c>
      <c r="N14" s="3">
        <f t="shared" si="5"/>
        <v>3410</v>
      </c>
      <c r="O14" s="3">
        <f t="shared" si="5"/>
        <v>3720</v>
      </c>
      <c r="P14" s="3">
        <f t="shared" si="5"/>
        <v>4030</v>
      </c>
      <c r="Q14" s="3">
        <f t="shared" si="5"/>
        <v>4340</v>
      </c>
      <c r="R14" s="3">
        <f t="shared" si="5"/>
        <v>4650</v>
      </c>
      <c r="S14" s="3">
        <f t="shared" si="5"/>
        <v>4960</v>
      </c>
      <c r="T14" s="3">
        <f t="shared" si="5"/>
        <v>5270</v>
      </c>
      <c r="U14" s="3">
        <f t="shared" si="5"/>
        <v>5580</v>
      </c>
      <c r="V14" s="3"/>
      <c r="W14" s="2"/>
      <c r="X14" s="2"/>
    </row>
    <row r="15" spans="1:24">
      <c r="A15" s="4" t="s">
        <v>10</v>
      </c>
      <c r="B15" s="4" t="s">
        <v>19</v>
      </c>
      <c r="C15" s="4"/>
      <c r="D15" s="5">
        <f>D14</f>
        <v>310</v>
      </c>
      <c r="E15" s="5">
        <f>D15+E14</f>
        <v>930</v>
      </c>
      <c r="F15" s="5">
        <f t="shared" ref="F15:U15" si="6">E15+F14</f>
        <v>1860</v>
      </c>
      <c r="G15" s="5">
        <f t="shared" si="6"/>
        <v>3100</v>
      </c>
      <c r="H15" s="5">
        <f t="shared" si="6"/>
        <v>4650</v>
      </c>
      <c r="I15" s="5">
        <f t="shared" si="6"/>
        <v>6510</v>
      </c>
      <c r="J15" s="5">
        <f t="shared" si="6"/>
        <v>8680</v>
      </c>
      <c r="K15" s="5">
        <f t="shared" si="6"/>
        <v>11160</v>
      </c>
      <c r="L15" s="5">
        <f t="shared" si="6"/>
        <v>13950</v>
      </c>
      <c r="M15" s="5">
        <f t="shared" si="6"/>
        <v>17050</v>
      </c>
      <c r="N15" s="5">
        <f t="shared" si="6"/>
        <v>20460</v>
      </c>
      <c r="O15" s="5">
        <f t="shared" si="6"/>
        <v>24180</v>
      </c>
      <c r="P15" s="5">
        <f t="shared" si="6"/>
        <v>28210</v>
      </c>
      <c r="Q15" s="5">
        <f t="shared" si="6"/>
        <v>32550</v>
      </c>
      <c r="R15" s="5">
        <f t="shared" si="6"/>
        <v>37200</v>
      </c>
      <c r="S15" s="5">
        <f t="shared" si="6"/>
        <v>42160</v>
      </c>
      <c r="T15" s="5">
        <f t="shared" si="6"/>
        <v>47430</v>
      </c>
      <c r="U15" s="5">
        <f t="shared" si="6"/>
        <v>53010</v>
      </c>
      <c r="V15" s="3"/>
      <c r="W15" s="2"/>
      <c r="X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conditionalFormatting sqref="D10:U10">
    <cfRule type="cellIs" dxfId="1" priority="2" operator="greaterThan">
      <formula>$X$2</formula>
    </cfRule>
  </conditionalFormatting>
  <conditionalFormatting sqref="D15:U15">
    <cfRule type="cellIs" dxfId="0" priority="1" operator="greaterThan">
      <formula>$X$2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Self Esteem Brands,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Campbell</dc:creator>
  <cp:keywords/>
  <dc:description/>
  <cp:lastModifiedBy/>
  <cp:revision/>
  <dcterms:created xsi:type="dcterms:W3CDTF">2023-10-17T21:17:23Z</dcterms:created>
  <dcterms:modified xsi:type="dcterms:W3CDTF">2024-02-21T18:30:12Z</dcterms:modified>
  <cp:category/>
  <cp:contentStatus/>
</cp:coreProperties>
</file>