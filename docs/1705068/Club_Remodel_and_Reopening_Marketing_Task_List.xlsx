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b.pias/Desktop/"/>
    </mc:Choice>
  </mc:AlternateContent>
  <xr:revisionPtr revIDLastSave="0" documentId="8_{ED780D59-3E15-5047-9584-276990F6E495}" xr6:coauthVersionLast="47" xr6:coauthVersionMax="47" xr10:uidLastSave="{00000000-0000-0000-0000-000000000000}"/>
  <bookViews>
    <workbookView xWindow="0" yWindow="500" windowWidth="29040" windowHeight="15840" xr2:uid="{E0F46B49-52C2-4B2B-A145-E022DEF2CAB0}"/>
  </bookViews>
  <sheets>
    <sheet name="Task List" sheetId="1" r:id="rId1"/>
  </sheets>
  <definedNames>
    <definedName name="Construction_Start">#REF!</definedName>
    <definedName name="Coonstruction_Start">#REF!</definedName>
    <definedName name="Display_Week">#REF!</definedName>
    <definedName name="Project_Start">#REF!</definedName>
    <definedName name="ReOpening_Even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D41" i="1"/>
  <c r="D47" i="1"/>
  <c r="D35" i="1"/>
  <c r="D45" i="1"/>
  <c r="D42" i="1"/>
  <c r="D40" i="1"/>
  <c r="D37" i="1"/>
  <c r="D36" i="1"/>
  <c r="D32" i="1"/>
  <c r="D27" i="1"/>
  <c r="D38" i="1"/>
  <c r="D22" i="1"/>
  <c r="D21" i="1"/>
  <c r="D20" i="1"/>
  <c r="D19" i="1"/>
  <c r="D17" i="1"/>
  <c r="D16" i="1"/>
  <c r="D15" i="1"/>
  <c r="D18" i="1"/>
  <c r="D14" i="1" l="1"/>
  <c r="D13" i="1"/>
  <c r="D12" i="1"/>
  <c r="D11" i="1"/>
  <c r="D29" i="1"/>
  <c r="D44" i="1"/>
  <c r="D28" i="1"/>
  <c r="D26" i="1"/>
  <c r="D46" i="1"/>
  <c r="D25" i="1"/>
  <c r="D24" i="1"/>
  <c r="D23" i="1"/>
  <c r="D34" i="1"/>
  <c r="D33" i="1"/>
  <c r="D31" i="1"/>
  <c r="D3" i="1"/>
</calcChain>
</file>

<file path=xl/sharedStrings.xml><?xml version="1.0" encoding="utf-8"?>
<sst xmlns="http://schemas.openxmlformats.org/spreadsheetml/2006/main" count="69" uniqueCount="66">
  <si>
    <t>Grand Reopening Event Date</t>
  </si>
  <si>
    <t>Today's Date</t>
  </si>
  <si>
    <t>Due Date Legend</t>
  </si>
  <si>
    <t>This Week</t>
  </si>
  <si>
    <t>Next Week</t>
  </si>
  <si>
    <t>Last Week</t>
  </si>
  <si>
    <t>Phase and Tasks</t>
  </si>
  <si>
    <t>Date Due</t>
  </si>
  <si>
    <t>Complete</t>
  </si>
  <si>
    <t>GO-10 Wks</t>
  </si>
  <si>
    <t>GO-9 Wks</t>
  </si>
  <si>
    <t>GO-8 Wks</t>
  </si>
  <si>
    <t>GO-7 Wks</t>
  </si>
  <si>
    <t>GO-6 Wks</t>
  </si>
  <si>
    <t>GO-5 Wks</t>
  </si>
  <si>
    <t>GO-4 Wks</t>
  </si>
  <si>
    <t>GO-3 Wks</t>
  </si>
  <si>
    <t>GO-2 Wks</t>
  </si>
  <si>
    <t>GO-1 Wk</t>
  </si>
  <si>
    <t>GO!</t>
  </si>
  <si>
    <t>GO+1 Wk</t>
  </si>
  <si>
    <t>GO+2 Wks</t>
  </si>
  <si>
    <t>GO+3 Wks</t>
  </si>
  <si>
    <t>GO+4 Wks</t>
  </si>
  <si>
    <t>Determine renewal, referral and acquisition offers</t>
  </si>
  <si>
    <t>Plan paid digital and print advertising activities</t>
  </si>
  <si>
    <t>Plan owned media (social, web) to keep people updated</t>
  </si>
  <si>
    <t>Create marketing assets and order promotional signage</t>
  </si>
  <si>
    <t>Order branded gifts and/or promotional items and staff uniforms</t>
  </si>
  <si>
    <t>Hold all-staff meeting</t>
  </si>
  <si>
    <t>Offer and promote renewal and referral incentives</t>
  </si>
  <si>
    <t>Hang mood board with elements of remodel, announce renovation</t>
  </si>
  <si>
    <t>Email to member base #1 (announce renovation, renewal offers)</t>
  </si>
  <si>
    <t>Post to social media #1 (announce renovation, renewal offers)</t>
  </si>
  <si>
    <t>Plan your grand reopening event</t>
  </si>
  <si>
    <t>Connect with marketing(s) vendor to schedule paid media</t>
  </si>
  <si>
    <t>Email member base #2 (Start date, affected amenities if staying open)</t>
  </si>
  <si>
    <t>Organic social post #2 (Start date, affected amenities if staying open)</t>
  </si>
  <si>
    <t>Post closure or disruption details sign on club door</t>
  </si>
  <si>
    <t>Email member base #3 (Closure Details/Affected Amenities)</t>
  </si>
  <si>
    <t>Organic social post #3 (Closure Details/Affected Amenities)</t>
  </si>
  <si>
    <t xml:space="preserve">Update Google My Business in Soci to reflect temporary closure </t>
  </si>
  <si>
    <t>Construction - Organic Social Posts #1/Email #1 - Updates, progress photos and announcements</t>
  </si>
  <si>
    <t>Construction - Organic Social Posts #2/Email #2 - Updates, progress photos and announcements</t>
  </si>
  <si>
    <t>Construction - Organic Social Posts #3/ Email #3 - Updates, progress photos and announcements</t>
  </si>
  <si>
    <t>Construction - Organic Social Posts #4/Email #4 - Updates, progress photos and announcements</t>
  </si>
  <si>
    <t>Schedule and promote offsite or outdoor workouts</t>
  </si>
  <si>
    <t>Start community outreach per marketing plan</t>
  </si>
  <si>
    <t>Prepare gifts and give aways for event</t>
  </si>
  <si>
    <t>Email message of appreciation to staff and members, renovation complete</t>
  </si>
  <si>
    <t>Update all owned media (web, social, GMB) with new photos, logos</t>
  </si>
  <si>
    <t>Install temp signage/banners/balloons etc. to promote grand reopening</t>
  </si>
  <si>
    <t>Host grand reopening event</t>
  </si>
  <si>
    <t>Evaluate marketing plan performance (paid media and guerilla tactics)</t>
  </si>
  <si>
    <t>Custom Tasks</t>
  </si>
  <si>
    <t>Post reopening/remodel complete announcement to social media</t>
  </si>
  <si>
    <t>Club Remodel and Reopening Task List</t>
  </si>
  <si>
    <t>Remodel Start Date</t>
  </si>
  <si>
    <t>Remodel Complete Date</t>
  </si>
  <si>
    <t>Preparing for Remodel</t>
  </si>
  <si>
    <t>During Remodel &amp; Construction</t>
  </si>
  <si>
    <t>Remodel Complete</t>
  </si>
  <si>
    <t>Promote grand reopening event, including paid media, emails and press release</t>
  </si>
  <si>
    <t>Run paid media campaign with member acquisition offer</t>
  </si>
  <si>
    <t>Email prospects/leads and lapsed/inactive members with acquisition offer (x2)</t>
  </si>
  <si>
    <t>Develop remodel &amp; reopening marketing plan &amp;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</si>
</sst>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m/dd/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textRotation="7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/>
        <color theme="2"/>
      </font>
      <fill>
        <patternFill>
          <bgColor rgb="FF7030A0"/>
        </patternFill>
      </fill>
    </dxf>
    <dxf>
      <font>
        <b/>
        <i val="0"/>
        <strike/>
        <color theme="2"/>
      </font>
      <fill>
        <patternFill>
          <bgColor rgb="FF7030A0"/>
        </patternFill>
      </fill>
    </dxf>
    <dxf>
      <font>
        <b/>
        <i val="0"/>
        <strike/>
        <color theme="2"/>
      </font>
      <fill>
        <patternFill>
          <bgColor rgb="FF7030A0"/>
        </patternFill>
      </fill>
    </dxf>
    <dxf>
      <font>
        <b/>
        <i val="0"/>
        <strike/>
        <color theme="2"/>
      </font>
      <fill>
        <patternFill>
          <bgColor rgb="FF7030A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>
          <bgColor rgb="FFFFC000"/>
        </patternFill>
      </fill>
    </dxf>
    <dxf>
      <font>
        <b/>
        <i val="0"/>
        <strike/>
        <color theme="2"/>
      </font>
      <fill>
        <patternFill>
          <bgColor rgb="FF7030A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>
          <bgColor rgb="FFFFC000"/>
        </patternFill>
      </fill>
    </dxf>
    <dxf>
      <fill>
        <patternFill patternType="solid">
          <fgColor rgb="FF00FF00"/>
          <bgColor rgb="FFFF0000"/>
        </patternFill>
      </fill>
    </dxf>
  </dxfs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B$15" lockText="1" noThreeD="1"/>
</file>

<file path=xl/ctrlProps/ctrlProp2.xml><?xml version="1.0" encoding="utf-8"?>
<formControlPr xmlns="http://schemas.microsoft.com/office/spreadsheetml/2009/9/main" objectType="CheckBox" fmlaLink="$B$16" lockText="1" noThreeD="1"/>
</file>

<file path=xl/ctrlProps/ctrlProp3.xml><?xml version="1.0" encoding="utf-8"?>
<formControlPr xmlns="http://schemas.microsoft.com/office/spreadsheetml/2009/9/main" objectType="CheckBox" fmlaLink="$B$23" lockText="1" noThreeD="1"/>
</file>

<file path=xl/ctrlProps/ctrlProp4.xml><?xml version="1.0" encoding="utf-8"?>
<formControlPr xmlns="http://schemas.microsoft.com/office/spreadsheetml/2009/9/main" objectType="CheckBox" fmlaLink="$B$26" lockText="1" noThreeD="1"/>
</file>

<file path=xl/ctrlProps/ctrlProp5.xml><?xml version="1.0" encoding="utf-8"?>
<formControlPr xmlns="http://schemas.microsoft.com/office/spreadsheetml/2009/9/main" objectType="CheckBox" fmlaLink="$B$19" lockText="1" noThreeD="1"/>
</file>

<file path=xl/ctrlProps/ctrlProp6.xml><?xml version="1.0" encoding="utf-8"?>
<formControlPr xmlns="http://schemas.microsoft.com/office/spreadsheetml/2009/9/main" objectType="CheckBox" fmlaLink="$B$21" lockText="1" noThreeD="1"/>
</file>

<file path=xl/ctrlProps/ctrlProp7.xml><?xml version="1.0" encoding="utf-8"?>
<formControlPr xmlns="http://schemas.microsoft.com/office/spreadsheetml/2009/9/main" objectType="CheckBox" fmlaLink="$B$25" lockText="1" noThreeD="1"/>
</file>

<file path=xl/ctrlProps/ctrlProp8.xml><?xml version="1.0" encoding="utf-8"?>
<formControlPr xmlns="http://schemas.microsoft.com/office/spreadsheetml/2009/9/main" objectType="CheckBox" fmlaLink="$B$28" lockText="1" noThreeD="1"/>
</file>

<file path=xl/ctrlProps/ctrlProp9.xml><?xml version="1.0" encoding="utf-8"?>
<formControlPr xmlns="http://schemas.microsoft.com/office/spreadsheetml/2009/9/main" objectType="CheckBox" fmlaLink="$B$24" lockText="1" noThreeD="1"/>
</file>

<file path=xl/ctrlProps/ctrlProp10.xml><?xml version="1.0" encoding="utf-8"?>
<formControlPr xmlns="http://schemas.microsoft.com/office/spreadsheetml/2009/9/main" objectType="CheckBox" fmlaLink="$B$20" lockText="1" noThreeD="1"/>
</file>

<file path=xl/ctrlProps/ctrlProp11.xml><?xml version="1.0" encoding="utf-8"?>
<formControlPr xmlns="http://schemas.microsoft.com/office/spreadsheetml/2009/9/main" objectType="CheckBox" fmlaLink="$B$27" lockText="1" noThreeD="1"/>
</file>

<file path=xl/ctrlProps/ctrlProp12.xml><?xml version="1.0" encoding="utf-8"?>
<formControlPr xmlns="http://schemas.microsoft.com/office/spreadsheetml/2009/9/main" objectType="CheckBox" fmlaLink="$B$31" lockText="1" noThreeD="1"/>
</file>

<file path=xl/ctrlProps/ctrlProp13.xml><?xml version="1.0" encoding="utf-8"?>
<formControlPr xmlns="http://schemas.microsoft.com/office/spreadsheetml/2009/9/main" objectType="CheckBox" fmlaLink="$B$32" lockText="1" noThreeD="1"/>
</file>

<file path=xl/ctrlProps/ctrlProp14.xml><?xml version="1.0" encoding="utf-8"?>
<formControlPr xmlns="http://schemas.microsoft.com/office/spreadsheetml/2009/9/main" objectType="CheckBox" fmlaLink="$B$34" lockText="1" noThreeD="1"/>
</file>

<file path=xl/ctrlProps/ctrlProp15.xml><?xml version="1.0" encoding="utf-8"?>
<formControlPr xmlns="http://schemas.microsoft.com/office/spreadsheetml/2009/9/main" objectType="CheckBox" fmlaLink="$B$36" lockText="1" noThreeD="1"/>
</file>

<file path=xl/ctrlProps/ctrlProp16.xml><?xml version="1.0" encoding="utf-8"?>
<formControlPr xmlns="http://schemas.microsoft.com/office/spreadsheetml/2009/9/main" objectType="CheckBox" fmlaLink="$B$11" lockText="1" noThreeD="1"/>
</file>

<file path=xl/ctrlProps/ctrlProp17.xml><?xml version="1.0" encoding="utf-8"?>
<formControlPr xmlns="http://schemas.microsoft.com/office/spreadsheetml/2009/9/main" objectType="CheckBox" fmlaLink="$B$18" lockText="1" noThreeD="1"/>
</file>

<file path=xl/ctrlProps/ctrlProp18.xml><?xml version="1.0" encoding="utf-8"?>
<formControlPr xmlns="http://schemas.microsoft.com/office/spreadsheetml/2009/9/main" objectType="CheckBox" fmlaLink="$B$35" lockText="1" noThreeD="1"/>
</file>

<file path=xl/ctrlProps/ctrlProp19.xml><?xml version="1.0" encoding="utf-8"?>
<formControlPr xmlns="http://schemas.microsoft.com/office/spreadsheetml/2009/9/main" objectType="CheckBox" fmlaLink="$B$17" lockText="1" noThreeD="1"/>
</file>

<file path=xl/ctrlProps/ctrlProp20.xml><?xml version="1.0" encoding="utf-8"?>
<formControlPr xmlns="http://schemas.microsoft.com/office/spreadsheetml/2009/9/main" objectType="CheckBox" fmlaLink="$B$12" lockText="1" noThreeD="1"/>
</file>

<file path=xl/ctrlProps/ctrlProp21.xml><?xml version="1.0" encoding="utf-8"?>
<formControlPr xmlns="http://schemas.microsoft.com/office/spreadsheetml/2009/9/main" objectType="CheckBox" fmlaLink="$B$13" lockText="1" noThreeD="1"/>
</file>

<file path=xl/ctrlProps/ctrlProp22.xml><?xml version="1.0" encoding="utf-8"?>
<formControlPr xmlns="http://schemas.microsoft.com/office/spreadsheetml/2009/9/main" objectType="CheckBox" fmlaLink="$B$14" lockText="1" noThreeD="1"/>
</file>

<file path=xl/ctrlProps/ctrlProp23.xml><?xml version="1.0" encoding="utf-8"?>
<formControlPr xmlns="http://schemas.microsoft.com/office/spreadsheetml/2009/9/main" objectType="CheckBox" fmlaLink="$B$22" lockText="1" noThreeD="1"/>
</file>

<file path=xl/ctrlProps/ctrlProp24.xml><?xml version="1.0" encoding="utf-8"?>
<formControlPr xmlns="http://schemas.microsoft.com/office/spreadsheetml/2009/9/main" objectType="CheckBox" fmlaLink="$B$37" lockText="1" noThreeD="1"/>
</file>

<file path=xl/ctrlProps/ctrlProp25.xml><?xml version="1.0" encoding="utf-8"?>
<formControlPr xmlns="http://schemas.microsoft.com/office/spreadsheetml/2009/9/main" objectType="CheckBox" fmlaLink="$B$33" lockText="1" noThreeD="1"/>
</file>

<file path=xl/ctrlProps/ctrlProp26.xml><?xml version="1.0" encoding="utf-8"?>
<formControlPr xmlns="http://schemas.microsoft.com/office/spreadsheetml/2009/9/main" objectType="CheckBox" fmlaLink="$B$49" lockText="1" noThreeD="1"/>
</file>

<file path=xl/ctrlProps/ctrlProp27.xml><?xml version="1.0" encoding="utf-8"?>
<formControlPr xmlns="http://schemas.microsoft.com/office/spreadsheetml/2009/9/main" objectType="CheckBox" fmlaLink="$B$50" lockText="1" noThreeD="1"/>
</file>

<file path=xl/ctrlProps/ctrlProp28.xml><?xml version="1.0" encoding="utf-8"?>
<formControlPr xmlns="http://schemas.microsoft.com/office/spreadsheetml/2009/9/main" objectType="CheckBox" fmlaLink="$B$51" lockText="1" noThreeD="1"/>
</file>

<file path=xl/ctrlProps/ctrlProp29.xml><?xml version="1.0" encoding="utf-8"?>
<formControlPr xmlns="http://schemas.microsoft.com/office/spreadsheetml/2009/9/main" objectType="CheckBox" fmlaLink="$B$52" lockText="1" noThreeD="1"/>
</file>

<file path=xl/ctrlProps/ctrlProp30.xml><?xml version="1.0" encoding="utf-8"?>
<formControlPr xmlns="http://schemas.microsoft.com/office/spreadsheetml/2009/9/main" objectType="CheckBox" fmlaLink="$B$38" lockText="1" noThreeD="1"/>
</file>

<file path=xl/ctrlProps/ctrlProp31.xml><?xml version="1.0" encoding="utf-8"?>
<formControlPr xmlns="http://schemas.microsoft.com/office/spreadsheetml/2009/9/main" objectType="CheckBox" fmlaLink="$B$29" lockText="1" noThreeD="1"/>
</file>

<file path=xl/ctrlProps/ctrlProp32.xml><?xml version="1.0" encoding="utf-8"?>
<formControlPr xmlns="http://schemas.microsoft.com/office/spreadsheetml/2009/9/main" objectType="CheckBox" fmlaLink="$B$46" lockText="1" noThreeD="1"/>
</file>

<file path=xl/ctrlProps/ctrlProp33.xml><?xml version="1.0" encoding="utf-8"?>
<formControlPr xmlns="http://schemas.microsoft.com/office/spreadsheetml/2009/9/main" objectType="CheckBox" fmlaLink="$B$40" lockText="1" noThreeD="1"/>
</file>

<file path=xl/ctrlProps/ctrlProp34.xml><?xml version="1.0" encoding="utf-8"?>
<formControlPr xmlns="http://schemas.microsoft.com/office/spreadsheetml/2009/9/main" objectType="CheckBox" fmlaLink="$B$42" lockText="1" noThreeD="1"/>
</file>

<file path=xl/ctrlProps/ctrlProp35.xml><?xml version="1.0" encoding="utf-8"?>
<formControlPr xmlns="http://schemas.microsoft.com/office/spreadsheetml/2009/9/main" objectType="CheckBox" fmlaLink="$B$45" lockText="1" noThreeD="1"/>
</file>

<file path=xl/ctrlProps/ctrlProp36.xml><?xml version="1.0" encoding="utf-8"?>
<formControlPr xmlns="http://schemas.microsoft.com/office/spreadsheetml/2009/9/main" objectType="CheckBox" fmlaLink="$B$47" lockText="1" noThreeD="1"/>
</file>

<file path=xl/ctrlProps/ctrlProp37.xml><?xml version="1.0" encoding="utf-8"?>
<formControlPr xmlns="http://schemas.microsoft.com/office/spreadsheetml/2009/9/main" objectType="CheckBox" fmlaLink="$B$44" lockText="1" noThreeD="1"/>
</file>

<file path=xl/ctrlProps/ctrlProp38.xml><?xml version="1.0" encoding="utf-8"?>
<formControlPr xmlns="http://schemas.microsoft.com/office/spreadsheetml/2009/9/main" objectType="CheckBox" fmlaLink="$B$53" lockText="1" noThreeD="1"/>
</file>

<file path=xl/ctrlProps/ctrlProp39.xml><?xml version="1.0" encoding="utf-8"?>
<formControlPr xmlns="http://schemas.microsoft.com/office/spreadsheetml/2009/9/main" objectType="CheckBox" fmlaLink="$B$42" lockText="1" noThreeD="1"/>
</file>

<file path=xl/ctrlProps/ctrlProp40.xml><?xml version="1.0" encoding="utf-8"?>
<formControlPr xmlns="http://schemas.microsoft.com/office/spreadsheetml/2009/9/main" objectType="CheckBox" fmlaLink="$B$4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38100</xdr:rowOff>
        </xdr:from>
        <xdr:to>
          <xdr:col>4</xdr:col>
          <xdr:colOff>431800</xdr:colOff>
          <xdr:row>14</xdr:row>
          <xdr:rowOff>254000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38100</xdr:rowOff>
        </xdr:from>
        <xdr:to>
          <xdr:col>4</xdr:col>
          <xdr:colOff>431800</xdr:colOff>
          <xdr:row>15</xdr:row>
          <xdr:rowOff>254000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22</xdr:row>
          <xdr:rowOff>38100</xdr:rowOff>
        </xdr:from>
        <xdr:to>
          <xdr:col>4</xdr:col>
          <xdr:colOff>419100</xdr:colOff>
          <xdr:row>22</xdr:row>
          <xdr:rowOff>254000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25</xdr:row>
          <xdr:rowOff>38100</xdr:rowOff>
        </xdr:from>
        <xdr:to>
          <xdr:col>4</xdr:col>
          <xdr:colOff>431800</xdr:colOff>
          <xdr:row>25</xdr:row>
          <xdr:rowOff>254000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50800</xdr:rowOff>
        </xdr:from>
        <xdr:to>
          <xdr:col>4</xdr:col>
          <xdr:colOff>431800</xdr:colOff>
          <xdr:row>18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20</xdr:row>
          <xdr:rowOff>63500</xdr:rowOff>
        </xdr:from>
        <xdr:to>
          <xdr:col>4</xdr:col>
          <xdr:colOff>406400</xdr:colOff>
          <xdr:row>20</xdr:row>
          <xdr:rowOff>279400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24</xdr:row>
          <xdr:rowOff>38100</xdr:rowOff>
        </xdr:from>
        <xdr:to>
          <xdr:col>4</xdr:col>
          <xdr:colOff>444500</xdr:colOff>
          <xdr:row>24</xdr:row>
          <xdr:rowOff>254000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27</xdr:row>
          <xdr:rowOff>38100</xdr:rowOff>
        </xdr:from>
        <xdr:to>
          <xdr:col>4</xdr:col>
          <xdr:colOff>431800</xdr:colOff>
          <xdr:row>27</xdr:row>
          <xdr:rowOff>254000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23</xdr:row>
          <xdr:rowOff>38100</xdr:rowOff>
        </xdr:from>
        <xdr:to>
          <xdr:col>4</xdr:col>
          <xdr:colOff>431800</xdr:colOff>
          <xdr:row>23</xdr:row>
          <xdr:rowOff>254000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38100</xdr:rowOff>
        </xdr:from>
        <xdr:to>
          <xdr:col>4</xdr:col>
          <xdr:colOff>431800</xdr:colOff>
          <xdr:row>19</xdr:row>
          <xdr:rowOff>254000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38100</xdr:rowOff>
        </xdr:from>
        <xdr:to>
          <xdr:col>4</xdr:col>
          <xdr:colOff>431800</xdr:colOff>
          <xdr:row>26</xdr:row>
          <xdr:rowOff>254000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38100</xdr:rowOff>
        </xdr:from>
        <xdr:to>
          <xdr:col>4</xdr:col>
          <xdr:colOff>431800</xdr:colOff>
          <xdr:row>30</xdr:row>
          <xdr:rowOff>254000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31</xdr:row>
          <xdr:rowOff>38100</xdr:rowOff>
        </xdr:from>
        <xdr:to>
          <xdr:col>4</xdr:col>
          <xdr:colOff>419100</xdr:colOff>
          <xdr:row>31</xdr:row>
          <xdr:rowOff>254000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33</xdr:row>
          <xdr:rowOff>38100</xdr:rowOff>
        </xdr:from>
        <xdr:to>
          <xdr:col>4</xdr:col>
          <xdr:colOff>431800</xdr:colOff>
          <xdr:row>33</xdr:row>
          <xdr:rowOff>266700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35</xdr:row>
          <xdr:rowOff>38100</xdr:rowOff>
        </xdr:from>
        <xdr:to>
          <xdr:col>4</xdr:col>
          <xdr:colOff>406400</xdr:colOff>
          <xdr:row>35</xdr:row>
          <xdr:rowOff>254000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10</xdr:row>
          <xdr:rowOff>50800</xdr:rowOff>
        </xdr:from>
        <xdr:to>
          <xdr:col>4</xdr:col>
          <xdr:colOff>444500</xdr:colOff>
          <xdr:row>10</xdr:row>
          <xdr:rowOff>266700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17</xdr:row>
          <xdr:rowOff>50800</xdr:rowOff>
        </xdr:from>
        <xdr:to>
          <xdr:col>4</xdr:col>
          <xdr:colOff>406400</xdr:colOff>
          <xdr:row>17</xdr:row>
          <xdr:rowOff>266700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34</xdr:row>
          <xdr:rowOff>50800</xdr:rowOff>
        </xdr:from>
        <xdr:to>
          <xdr:col>4</xdr:col>
          <xdr:colOff>444500</xdr:colOff>
          <xdr:row>34</xdr:row>
          <xdr:rowOff>266700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16</xdr:row>
          <xdr:rowOff>50800</xdr:rowOff>
        </xdr:from>
        <xdr:to>
          <xdr:col>4</xdr:col>
          <xdr:colOff>431800</xdr:colOff>
          <xdr:row>16</xdr:row>
          <xdr:rowOff>266700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11</xdr:row>
          <xdr:rowOff>50800</xdr:rowOff>
        </xdr:from>
        <xdr:to>
          <xdr:col>4</xdr:col>
          <xdr:colOff>444500</xdr:colOff>
          <xdr:row>11</xdr:row>
          <xdr:rowOff>266700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12</xdr:row>
          <xdr:rowOff>50800</xdr:rowOff>
        </xdr:from>
        <xdr:to>
          <xdr:col>4</xdr:col>
          <xdr:colOff>444500</xdr:colOff>
          <xdr:row>12</xdr:row>
          <xdr:rowOff>266700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13</xdr:row>
          <xdr:rowOff>50800</xdr:rowOff>
        </xdr:from>
        <xdr:to>
          <xdr:col>4</xdr:col>
          <xdr:colOff>444500</xdr:colOff>
          <xdr:row>13</xdr:row>
          <xdr:rowOff>266700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21</xdr:row>
          <xdr:rowOff>38100</xdr:rowOff>
        </xdr:from>
        <xdr:to>
          <xdr:col>4</xdr:col>
          <xdr:colOff>419100</xdr:colOff>
          <xdr:row>21</xdr:row>
          <xdr:rowOff>254000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36</xdr:row>
          <xdr:rowOff>38100</xdr:rowOff>
        </xdr:from>
        <xdr:to>
          <xdr:col>4</xdr:col>
          <xdr:colOff>431800</xdr:colOff>
          <xdr:row>36</xdr:row>
          <xdr:rowOff>266700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32</xdr:row>
          <xdr:rowOff>38100</xdr:rowOff>
        </xdr:from>
        <xdr:to>
          <xdr:col>4</xdr:col>
          <xdr:colOff>419100</xdr:colOff>
          <xdr:row>32</xdr:row>
          <xdr:rowOff>254000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48</xdr:row>
          <xdr:rowOff>50800</xdr:rowOff>
        </xdr:from>
        <xdr:to>
          <xdr:col>4</xdr:col>
          <xdr:colOff>444500</xdr:colOff>
          <xdr:row>48</xdr:row>
          <xdr:rowOff>266700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49</xdr:row>
          <xdr:rowOff>50800</xdr:rowOff>
        </xdr:from>
        <xdr:to>
          <xdr:col>4</xdr:col>
          <xdr:colOff>444500</xdr:colOff>
          <xdr:row>49</xdr:row>
          <xdr:rowOff>266700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50</xdr:row>
          <xdr:rowOff>50800</xdr:rowOff>
        </xdr:from>
        <xdr:to>
          <xdr:col>4</xdr:col>
          <xdr:colOff>444500</xdr:colOff>
          <xdr:row>50</xdr:row>
          <xdr:rowOff>266700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51</xdr:row>
          <xdr:rowOff>50800</xdr:rowOff>
        </xdr:from>
        <xdr:to>
          <xdr:col>4</xdr:col>
          <xdr:colOff>444500</xdr:colOff>
          <xdr:row>51</xdr:row>
          <xdr:rowOff>266700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37</xdr:row>
          <xdr:rowOff>38100</xdr:rowOff>
        </xdr:from>
        <xdr:to>
          <xdr:col>4</xdr:col>
          <xdr:colOff>406400</xdr:colOff>
          <xdr:row>37</xdr:row>
          <xdr:rowOff>254000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241300</xdr:colOff>
          <xdr:row>28</xdr:row>
          <xdr:rowOff>38100</xdr:rowOff>
        </xdr:from>
        <xdr:to>
          <xdr:col>4</xdr:col>
          <xdr:colOff>431800</xdr:colOff>
          <xdr:row>28</xdr:row>
          <xdr:rowOff>254000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45</xdr:row>
          <xdr:rowOff>25400</xdr:rowOff>
        </xdr:from>
        <xdr:to>
          <xdr:col>4</xdr:col>
          <xdr:colOff>444500</xdr:colOff>
          <xdr:row>45</xdr:row>
          <xdr:rowOff>254000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39</xdr:row>
          <xdr:rowOff>25400</xdr:rowOff>
        </xdr:from>
        <xdr:to>
          <xdr:col>4</xdr:col>
          <xdr:colOff>444500</xdr:colOff>
          <xdr:row>39</xdr:row>
          <xdr:rowOff>254000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41</xdr:row>
          <xdr:rowOff>25400</xdr:rowOff>
        </xdr:from>
        <xdr:to>
          <xdr:col>4</xdr:col>
          <xdr:colOff>444500</xdr:colOff>
          <xdr:row>41</xdr:row>
          <xdr:rowOff>254000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44</xdr:row>
          <xdr:rowOff>25400</xdr:rowOff>
        </xdr:from>
        <xdr:to>
          <xdr:col>4</xdr:col>
          <xdr:colOff>444500</xdr:colOff>
          <xdr:row>44</xdr:row>
          <xdr:rowOff>254000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46</xdr:row>
          <xdr:rowOff>25400</xdr:rowOff>
        </xdr:from>
        <xdr:to>
          <xdr:col>4</xdr:col>
          <xdr:colOff>444500</xdr:colOff>
          <xdr:row>46</xdr:row>
          <xdr:rowOff>254000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43</xdr:row>
          <xdr:rowOff>25400</xdr:rowOff>
        </xdr:from>
        <xdr:to>
          <xdr:col>4</xdr:col>
          <xdr:colOff>444500</xdr:colOff>
          <xdr:row>43</xdr:row>
          <xdr:rowOff>254000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52</xdr:row>
          <xdr:rowOff>50800</xdr:rowOff>
        </xdr:from>
        <xdr:to>
          <xdr:col>4</xdr:col>
          <xdr:colOff>444500</xdr:colOff>
          <xdr:row>52</xdr:row>
          <xdr:rowOff>266700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40</xdr:row>
          <xdr:rowOff>25400</xdr:rowOff>
        </xdr:from>
        <xdr:to>
          <xdr:col>4</xdr:col>
          <xdr:colOff>444500</xdr:colOff>
          <xdr:row>40</xdr:row>
          <xdr:rowOff>254000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254000</xdr:colOff>
          <xdr:row>42</xdr:row>
          <xdr:rowOff>25400</xdr:rowOff>
        </xdr:from>
        <xdr:to>
          <xdr:col>4</xdr:col>
          <xdr:colOff>444500</xdr:colOff>
          <xdr:row>42</xdr:row>
          <xdr:rowOff>254000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8C36-99A4-4887-A686-7B0530341D92}">
  <dimension ref="A1:T58"/>
  <sheetViews>
    <sheetView tabSelected="1" workbookViewId="0">
      <pane xSplit="5" ySplit="9" topLeftCell="F43" activePane="bottomRight" state="frozen"/>
      <selection pane="topRight" activeCell="F1" sqref="F1"/>
      <selection pane="bottomLeft" activeCell="A10" sqref="A10"/>
      <selection pane="bottomRight" activeCell="C43" sqref="C43"/>
    </sheetView>
  </sheetViews>
  <sheetFormatPr baseColWidth="10" defaultColWidth="8.83203125" defaultRowHeight="15" x14ac:dyDescent="0.2"/>
  <cols>
    <col min="1" max="1" width="5.33203125" customWidth="1"/>
    <col min="2" max="2" width="2.5" style="1" hidden="1" customWidth="1"/>
    <col min="3" max="3" width="87.33203125" bestFit="1" customWidth="1"/>
    <col min="4" max="4" width="14.83203125" style="10" customWidth="1"/>
    <col min="5" max="5" width="10.5" customWidth="1"/>
    <col min="6" max="15" width="10.33203125" style="10" customWidth="1"/>
    <col min="16" max="16" width="4.83203125" style="10" customWidth="1"/>
    <col min="17" max="20" width="10.33203125" style="10" customWidth="1"/>
  </cols>
  <sheetData>
    <row r="1" spans="1:20" ht="26" customHeight="1" x14ac:dyDescent="0.2">
      <c r="C1" s="33" t="s">
        <v>56</v>
      </c>
      <c r="D1" s="33"/>
      <c r="E1" s="33"/>
      <c r="F1" s="33"/>
      <c r="G1" s="33"/>
    </row>
    <row r="2" spans="1:20" x14ac:dyDescent="0.2">
      <c r="C2" s="2" t="s">
        <v>0</v>
      </c>
      <c r="D2" s="3" t="s">
        <v>1</v>
      </c>
      <c r="E2" s="2" t="s">
        <v>2</v>
      </c>
    </row>
    <row r="3" spans="1:20" x14ac:dyDescent="0.2">
      <c r="C3" s="4">
        <v>44909</v>
      </c>
      <c r="D3" s="5">
        <f ca="1">TODAY()</f>
        <v>45131</v>
      </c>
      <c r="E3" s="6" t="s">
        <v>3</v>
      </c>
    </row>
    <row r="4" spans="1:20" x14ac:dyDescent="0.2">
      <c r="C4" s="2" t="s">
        <v>57</v>
      </c>
      <c r="D4" s="3"/>
      <c r="E4" s="7" t="s">
        <v>4</v>
      </c>
    </row>
    <row r="5" spans="1:20" x14ac:dyDescent="0.2">
      <c r="C5" s="4">
        <v>44872</v>
      </c>
      <c r="D5" s="5"/>
      <c r="E5" s="8" t="s">
        <v>5</v>
      </c>
    </row>
    <row r="6" spans="1:20" x14ac:dyDescent="0.2">
      <c r="C6" s="2" t="s">
        <v>58</v>
      </c>
      <c r="D6" s="3"/>
    </row>
    <row r="7" spans="1:20" x14ac:dyDescent="0.2">
      <c r="C7" s="4">
        <v>44900</v>
      </c>
      <c r="D7" s="5"/>
    </row>
    <row r="8" spans="1:20" x14ac:dyDescent="0.2">
      <c r="C8" s="4"/>
      <c r="D8" s="5"/>
      <c r="E8" s="23"/>
      <c r="F8" s="29" t="s">
        <v>59</v>
      </c>
      <c r="G8" s="30"/>
      <c r="H8" s="30"/>
      <c r="I8" s="30"/>
      <c r="J8" s="30"/>
      <c r="K8" s="31"/>
      <c r="L8" s="29" t="s">
        <v>60</v>
      </c>
      <c r="M8" s="30"/>
      <c r="N8" s="30"/>
      <c r="O8" s="31"/>
      <c r="P8" s="29" t="s">
        <v>61</v>
      </c>
      <c r="Q8" s="30"/>
      <c r="R8" s="30"/>
      <c r="S8" s="30"/>
      <c r="T8" s="31"/>
    </row>
    <row r="9" spans="1:20" s="13" customFormat="1" ht="32.5" customHeight="1" x14ac:dyDescent="0.2">
      <c r="A9" s="11"/>
      <c r="B9" s="12"/>
      <c r="C9" s="9" t="s">
        <v>6</v>
      </c>
      <c r="D9" s="9" t="s">
        <v>7</v>
      </c>
      <c r="E9" s="24" t="s">
        <v>8</v>
      </c>
      <c r="F9" s="19" t="s">
        <v>9</v>
      </c>
      <c r="G9" s="20" t="s">
        <v>10</v>
      </c>
      <c r="H9" s="20" t="s">
        <v>11</v>
      </c>
      <c r="I9" s="20" t="s">
        <v>12</v>
      </c>
      <c r="J9" s="20" t="s">
        <v>13</v>
      </c>
      <c r="K9" s="21" t="s">
        <v>14</v>
      </c>
      <c r="L9" s="19" t="s">
        <v>15</v>
      </c>
      <c r="M9" s="20" t="s">
        <v>16</v>
      </c>
      <c r="N9" s="20" t="s">
        <v>17</v>
      </c>
      <c r="O9" s="21" t="s">
        <v>18</v>
      </c>
      <c r="P9" s="22" t="s">
        <v>19</v>
      </c>
      <c r="Q9" s="20" t="s">
        <v>20</v>
      </c>
      <c r="R9" s="20" t="s">
        <v>21</v>
      </c>
      <c r="S9" s="20" t="s">
        <v>22</v>
      </c>
      <c r="T9" s="21" t="s">
        <v>23</v>
      </c>
    </row>
    <row r="10" spans="1:20" s="13" customFormat="1" ht="24" customHeight="1" x14ac:dyDescent="0.2">
      <c r="A10" s="34" t="s">
        <v>59</v>
      </c>
      <c r="B10" s="34"/>
      <c r="C10" s="34"/>
      <c r="D10" s="34"/>
      <c r="E10" s="34"/>
      <c r="F10" s="9"/>
      <c r="G10" s="9"/>
      <c r="H10" s="9"/>
      <c r="I10" s="9"/>
      <c r="J10" s="9"/>
      <c r="K10" s="9"/>
      <c r="L10" s="9"/>
      <c r="M10" s="9"/>
      <c r="N10" s="9"/>
      <c r="O10" s="9"/>
      <c r="P10" s="25"/>
      <c r="Q10" s="9"/>
      <c r="R10" s="9"/>
      <c r="S10" s="9"/>
      <c r="T10" s="9"/>
    </row>
    <row r="11" spans="1:20" s="13" customFormat="1" ht="25" customHeight="1" x14ac:dyDescent="0.2">
      <c r="A11" s="13">
        <v>1</v>
      </c>
      <c r="B11" s="12" t="b">
        <v>0</v>
      </c>
      <c r="C11" s="13" t="s">
        <v>65</v>
      </c>
      <c r="D11" s="14">
        <f>C5-42</f>
        <v>44830</v>
      </c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26"/>
      <c r="Q11" s="16"/>
      <c r="R11" s="16"/>
      <c r="S11" s="16"/>
      <c r="T11" s="16"/>
    </row>
    <row r="12" spans="1:20" s="13" customFormat="1" ht="25" customHeight="1" x14ac:dyDescent="0.2">
      <c r="A12" s="13">
        <v>2</v>
      </c>
      <c r="B12" s="12" t="b">
        <v>0</v>
      </c>
      <c r="C12" s="13" t="s">
        <v>24</v>
      </c>
      <c r="D12" s="14">
        <f>C5-42</f>
        <v>44830</v>
      </c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26"/>
      <c r="Q12" s="16"/>
      <c r="R12" s="16"/>
      <c r="S12" s="16"/>
      <c r="T12" s="16"/>
    </row>
    <row r="13" spans="1:20" s="13" customFormat="1" ht="25" customHeight="1" x14ac:dyDescent="0.2">
      <c r="A13" s="13">
        <v>3</v>
      </c>
      <c r="B13" s="12" t="b">
        <v>0</v>
      </c>
      <c r="C13" s="13" t="s">
        <v>25</v>
      </c>
      <c r="D13" s="14">
        <f>C5-40</f>
        <v>44832</v>
      </c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26"/>
      <c r="Q13" s="16"/>
      <c r="R13" s="16"/>
      <c r="S13" s="16"/>
      <c r="T13" s="16"/>
    </row>
    <row r="14" spans="1:20" s="13" customFormat="1" ht="25" customHeight="1" x14ac:dyDescent="0.2">
      <c r="A14" s="13">
        <v>4</v>
      </c>
      <c r="B14" s="12" t="b">
        <v>0</v>
      </c>
      <c r="C14" s="13" t="s">
        <v>26</v>
      </c>
      <c r="D14" s="14">
        <f>C5-40</f>
        <v>44832</v>
      </c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26"/>
      <c r="Q14" s="16"/>
      <c r="R14" s="16"/>
      <c r="S14" s="16"/>
      <c r="T14" s="16"/>
    </row>
    <row r="15" spans="1:20" s="13" customFormat="1" ht="25" customHeight="1" x14ac:dyDescent="0.2">
      <c r="A15" s="13">
        <v>5</v>
      </c>
      <c r="B15" s="12" t="b">
        <v>0</v>
      </c>
      <c r="C15" s="13" t="s">
        <v>27</v>
      </c>
      <c r="D15" s="14">
        <f>C5-35</f>
        <v>44837</v>
      </c>
      <c r="G15" s="15"/>
      <c r="H15" s="16"/>
      <c r="I15" s="16"/>
      <c r="J15" s="16"/>
      <c r="K15" s="16"/>
      <c r="L15" s="16"/>
      <c r="M15" s="16"/>
      <c r="N15" s="16"/>
      <c r="O15" s="16"/>
      <c r="P15" s="26"/>
      <c r="Q15" s="16"/>
      <c r="R15" s="16"/>
      <c r="S15" s="16"/>
      <c r="T15" s="16"/>
    </row>
    <row r="16" spans="1:20" s="13" customFormat="1" ht="25" customHeight="1" x14ac:dyDescent="0.2">
      <c r="A16" s="13">
        <v>6</v>
      </c>
      <c r="B16" s="12" t="b">
        <v>0</v>
      </c>
      <c r="C16" s="13" t="s">
        <v>28</v>
      </c>
      <c r="D16" s="14">
        <f>C5-35</f>
        <v>44837</v>
      </c>
      <c r="F16" s="16"/>
      <c r="G16" s="15"/>
      <c r="H16" s="16"/>
      <c r="I16" s="16"/>
      <c r="J16" s="16"/>
      <c r="K16" s="16"/>
      <c r="L16" s="16"/>
      <c r="M16" s="16"/>
      <c r="N16" s="16"/>
      <c r="O16" s="16"/>
      <c r="P16" s="26"/>
      <c r="Q16" s="16"/>
      <c r="R16" s="16"/>
      <c r="S16" s="16"/>
      <c r="T16" s="16"/>
    </row>
    <row r="17" spans="1:20" s="13" customFormat="1" ht="25" customHeight="1" x14ac:dyDescent="0.2">
      <c r="A17" s="13">
        <v>7</v>
      </c>
      <c r="B17" s="12" t="b">
        <v>0</v>
      </c>
      <c r="C17" s="13" t="s">
        <v>29</v>
      </c>
      <c r="D17" s="14">
        <f>C5-28</f>
        <v>44844</v>
      </c>
      <c r="F17" s="16"/>
      <c r="H17" s="15"/>
      <c r="I17" s="16"/>
      <c r="J17" s="16"/>
      <c r="K17" s="16"/>
      <c r="L17" s="16"/>
      <c r="M17" s="16"/>
      <c r="N17" s="16"/>
      <c r="O17" s="16"/>
      <c r="P17" s="26"/>
      <c r="Q17" s="16"/>
      <c r="R17" s="16"/>
      <c r="S17" s="16"/>
      <c r="T17" s="16"/>
    </row>
    <row r="18" spans="1:20" s="13" customFormat="1" ht="25" customHeight="1" x14ac:dyDescent="0.2">
      <c r="A18" s="13">
        <v>8</v>
      </c>
      <c r="B18" s="12" t="b">
        <v>0</v>
      </c>
      <c r="C18" s="13" t="s">
        <v>30</v>
      </c>
      <c r="D18" s="14">
        <f>C5-21</f>
        <v>44851</v>
      </c>
      <c r="F18" s="16"/>
      <c r="G18" s="16"/>
      <c r="H18" s="16"/>
      <c r="I18" s="15"/>
      <c r="J18" s="15"/>
      <c r="K18" s="15"/>
      <c r="L18" s="15"/>
      <c r="M18" s="15"/>
      <c r="N18" s="15"/>
      <c r="O18" s="15"/>
      <c r="P18" s="26"/>
      <c r="Q18" s="15"/>
      <c r="R18" s="15"/>
      <c r="S18" s="16"/>
      <c r="T18" s="16"/>
    </row>
    <row r="19" spans="1:20" s="13" customFormat="1" ht="25" customHeight="1" x14ac:dyDescent="0.2">
      <c r="A19" s="13">
        <v>9</v>
      </c>
      <c r="B19" s="12" t="b">
        <v>0</v>
      </c>
      <c r="C19" s="13" t="s">
        <v>31</v>
      </c>
      <c r="D19" s="14">
        <f>C5-18</f>
        <v>44854</v>
      </c>
      <c r="F19" s="16"/>
      <c r="G19" s="16"/>
      <c r="H19" s="16"/>
      <c r="I19" s="15"/>
      <c r="J19" s="16"/>
      <c r="K19" s="16"/>
      <c r="L19" s="16"/>
      <c r="M19" s="16"/>
      <c r="N19" s="16"/>
      <c r="O19" s="16"/>
      <c r="P19" s="26"/>
      <c r="Q19" s="16"/>
      <c r="R19" s="16"/>
      <c r="S19" s="16"/>
      <c r="T19" s="16"/>
    </row>
    <row r="20" spans="1:20" s="13" customFormat="1" ht="25" customHeight="1" x14ac:dyDescent="0.2">
      <c r="A20" s="13">
        <v>10</v>
      </c>
      <c r="B20" s="12" t="b">
        <v>0</v>
      </c>
      <c r="C20" s="13" t="s">
        <v>32</v>
      </c>
      <c r="D20" s="14">
        <f>C5-18</f>
        <v>44854</v>
      </c>
      <c r="F20" s="16"/>
      <c r="G20" s="16"/>
      <c r="H20" s="16"/>
      <c r="I20" s="15"/>
      <c r="J20" s="16"/>
      <c r="K20" s="16"/>
      <c r="L20" s="16"/>
      <c r="M20" s="16"/>
      <c r="N20" s="16"/>
      <c r="O20" s="16"/>
      <c r="P20" s="26"/>
      <c r="Q20" s="16"/>
      <c r="R20" s="16"/>
      <c r="S20" s="16"/>
      <c r="T20" s="16"/>
    </row>
    <row r="21" spans="1:20" s="13" customFormat="1" ht="25" customHeight="1" x14ac:dyDescent="0.2">
      <c r="A21" s="13">
        <v>11</v>
      </c>
      <c r="B21" s="12" t="b">
        <v>0</v>
      </c>
      <c r="C21" s="13" t="s">
        <v>33</v>
      </c>
      <c r="D21" s="14">
        <f>C5-18</f>
        <v>44854</v>
      </c>
      <c r="F21" s="16"/>
      <c r="G21" s="16"/>
      <c r="H21" s="16"/>
      <c r="I21" s="15"/>
      <c r="J21" s="16"/>
      <c r="K21" s="16"/>
      <c r="L21" s="16"/>
      <c r="M21" s="16"/>
      <c r="N21" s="16"/>
      <c r="O21" s="16"/>
      <c r="P21" s="26"/>
      <c r="Q21" s="16"/>
      <c r="R21" s="16"/>
      <c r="S21" s="16"/>
      <c r="T21" s="16"/>
    </row>
    <row r="22" spans="1:20" s="13" customFormat="1" ht="25" customHeight="1" x14ac:dyDescent="0.2">
      <c r="A22" s="13">
        <v>12</v>
      </c>
      <c r="B22" s="12" t="b">
        <v>0</v>
      </c>
      <c r="C22" s="13" t="s">
        <v>34</v>
      </c>
      <c r="D22" s="14">
        <f>C5-14</f>
        <v>44858</v>
      </c>
      <c r="F22" s="16"/>
      <c r="G22" s="16"/>
      <c r="H22" s="16"/>
      <c r="I22" s="16"/>
      <c r="J22" s="15"/>
      <c r="K22" s="15"/>
      <c r="L22" s="16"/>
      <c r="M22" s="16"/>
      <c r="N22" s="16"/>
      <c r="O22" s="16"/>
      <c r="P22" s="26"/>
      <c r="Q22" s="16"/>
      <c r="R22" s="16"/>
      <c r="S22" s="16"/>
      <c r="T22" s="16"/>
    </row>
    <row r="23" spans="1:20" s="13" customFormat="1" ht="25" customHeight="1" x14ac:dyDescent="0.2">
      <c r="A23" s="13">
        <v>13</v>
      </c>
      <c r="B23" s="12" t="b">
        <v>0</v>
      </c>
      <c r="C23" s="13" t="s">
        <v>35</v>
      </c>
      <c r="D23" s="14">
        <f>C5-14</f>
        <v>44858</v>
      </c>
      <c r="F23" s="16"/>
      <c r="G23" s="16"/>
      <c r="H23" s="16"/>
      <c r="I23" s="16"/>
      <c r="J23" s="15"/>
      <c r="K23" s="16"/>
      <c r="L23" s="16"/>
      <c r="M23" s="16"/>
      <c r="N23" s="16"/>
      <c r="O23" s="16"/>
      <c r="P23" s="26"/>
      <c r="Q23" s="16"/>
      <c r="R23" s="16"/>
      <c r="S23" s="16"/>
      <c r="T23" s="16"/>
    </row>
    <row r="24" spans="1:20" s="13" customFormat="1" ht="25" customHeight="1" x14ac:dyDescent="0.2">
      <c r="A24" s="13">
        <v>14</v>
      </c>
      <c r="B24" s="12" t="b">
        <v>0</v>
      </c>
      <c r="C24" s="13" t="s">
        <v>36</v>
      </c>
      <c r="D24" s="14">
        <f>C5-7</f>
        <v>44865</v>
      </c>
      <c r="F24" s="16"/>
      <c r="G24" s="16"/>
      <c r="H24" s="16"/>
      <c r="I24" s="16"/>
      <c r="J24" s="16"/>
      <c r="K24" s="15"/>
      <c r="L24" s="16"/>
      <c r="M24" s="16"/>
      <c r="N24" s="16"/>
      <c r="O24" s="16"/>
      <c r="P24" s="26"/>
      <c r="Q24" s="16"/>
      <c r="R24" s="16"/>
      <c r="S24" s="16"/>
      <c r="T24" s="16"/>
    </row>
    <row r="25" spans="1:20" s="13" customFormat="1" ht="25" customHeight="1" x14ac:dyDescent="0.2">
      <c r="A25" s="13">
        <v>15</v>
      </c>
      <c r="B25" s="12" t="b">
        <v>0</v>
      </c>
      <c r="C25" s="13" t="s">
        <v>37</v>
      </c>
      <c r="D25" s="14">
        <f>C5-7</f>
        <v>44865</v>
      </c>
      <c r="F25" s="16"/>
      <c r="G25" s="16"/>
      <c r="H25" s="16"/>
      <c r="I25" s="16"/>
      <c r="J25" s="16"/>
      <c r="K25" s="15"/>
      <c r="L25" s="16"/>
      <c r="M25" s="16"/>
      <c r="N25" s="16"/>
      <c r="O25" s="16"/>
      <c r="P25" s="26"/>
      <c r="Q25" s="16"/>
      <c r="R25" s="16"/>
      <c r="S25" s="16"/>
      <c r="T25" s="16"/>
    </row>
    <row r="26" spans="1:20" s="13" customFormat="1" ht="25" customHeight="1" x14ac:dyDescent="0.2">
      <c r="A26" s="13">
        <v>16</v>
      </c>
      <c r="B26" s="12" t="b">
        <v>0</v>
      </c>
      <c r="C26" s="13" t="s">
        <v>38</v>
      </c>
      <c r="D26" s="14">
        <f>C5-7</f>
        <v>44865</v>
      </c>
      <c r="F26" s="16"/>
      <c r="G26" s="16"/>
      <c r="H26" s="16"/>
      <c r="I26" s="16"/>
      <c r="J26" s="16"/>
      <c r="K26" s="15"/>
      <c r="L26" s="16"/>
      <c r="M26" s="16"/>
      <c r="N26" s="16"/>
      <c r="O26" s="16"/>
      <c r="P26" s="26"/>
      <c r="Q26" s="16"/>
      <c r="R26" s="16"/>
      <c r="S26" s="16"/>
      <c r="T26" s="16"/>
    </row>
    <row r="27" spans="1:20" s="13" customFormat="1" ht="25" customHeight="1" x14ac:dyDescent="0.2">
      <c r="A27" s="13">
        <v>17</v>
      </c>
      <c r="B27" s="12" t="b">
        <v>0</v>
      </c>
      <c r="C27" s="13" t="s">
        <v>39</v>
      </c>
      <c r="D27" s="14">
        <f>C5-1</f>
        <v>44871</v>
      </c>
      <c r="F27" s="16"/>
      <c r="G27" s="16"/>
      <c r="H27" s="16"/>
      <c r="I27" s="16"/>
      <c r="J27" s="16"/>
      <c r="K27" s="15"/>
      <c r="L27" s="16"/>
      <c r="M27" s="16"/>
      <c r="N27" s="16"/>
      <c r="O27" s="16"/>
      <c r="P27" s="26"/>
      <c r="Q27" s="16"/>
      <c r="R27" s="16"/>
      <c r="S27" s="16"/>
      <c r="T27" s="16"/>
    </row>
    <row r="28" spans="1:20" s="13" customFormat="1" ht="25" customHeight="1" x14ac:dyDescent="0.2">
      <c r="A28" s="13">
        <v>18</v>
      </c>
      <c r="B28" s="12" t="b">
        <v>0</v>
      </c>
      <c r="C28" s="13" t="s">
        <v>40</v>
      </c>
      <c r="D28" s="14">
        <f>C5-1</f>
        <v>44871</v>
      </c>
      <c r="F28" s="16"/>
      <c r="G28" s="16"/>
      <c r="H28" s="16"/>
      <c r="I28" s="16"/>
      <c r="J28" s="16"/>
      <c r="K28" s="15"/>
      <c r="L28" s="16"/>
      <c r="M28" s="16"/>
      <c r="N28" s="16"/>
      <c r="O28" s="16"/>
      <c r="P28" s="26"/>
      <c r="Q28" s="16"/>
      <c r="R28" s="16"/>
      <c r="S28" s="16"/>
      <c r="T28" s="16"/>
    </row>
    <row r="29" spans="1:20" s="13" customFormat="1" ht="25" customHeight="1" x14ac:dyDescent="0.2">
      <c r="A29" s="13">
        <v>19</v>
      </c>
      <c r="B29" s="12"/>
      <c r="C29" s="13" t="s">
        <v>41</v>
      </c>
      <c r="D29" s="14">
        <f>C5-1</f>
        <v>44871</v>
      </c>
      <c r="F29" s="16"/>
      <c r="G29" s="16"/>
      <c r="H29" s="16"/>
      <c r="I29" s="16"/>
      <c r="J29" s="16"/>
      <c r="K29" s="15"/>
      <c r="L29" s="16"/>
      <c r="M29" s="16"/>
      <c r="N29" s="16"/>
      <c r="O29" s="16"/>
      <c r="P29" s="26"/>
      <c r="Q29" s="16"/>
      <c r="R29" s="16"/>
      <c r="S29" s="16"/>
      <c r="T29" s="16"/>
    </row>
    <row r="30" spans="1:20" s="13" customFormat="1" ht="25" customHeight="1" x14ac:dyDescent="0.2">
      <c r="A30" s="35" t="s">
        <v>60</v>
      </c>
      <c r="B30" s="35"/>
      <c r="C30" s="35"/>
      <c r="D30" s="35"/>
      <c r="E30" s="3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6"/>
      <c r="Q30" s="16"/>
      <c r="R30" s="16"/>
      <c r="S30" s="16"/>
      <c r="T30" s="16"/>
    </row>
    <row r="31" spans="1:20" s="13" customFormat="1" ht="25" customHeight="1" x14ac:dyDescent="0.2">
      <c r="A31" s="13">
        <v>20</v>
      </c>
      <c r="B31" s="12" t="b">
        <v>0</v>
      </c>
      <c r="C31" s="13" t="s">
        <v>42</v>
      </c>
      <c r="D31" s="14">
        <f>C5+7</f>
        <v>44879</v>
      </c>
      <c r="F31" s="16"/>
      <c r="G31" s="16"/>
      <c r="H31" s="16"/>
      <c r="I31" s="16"/>
      <c r="J31" s="16"/>
      <c r="K31" s="16"/>
      <c r="L31" s="27"/>
      <c r="M31" s="16"/>
      <c r="N31" s="16"/>
      <c r="O31" s="16"/>
      <c r="P31" s="26"/>
      <c r="Q31" s="16"/>
      <c r="R31" s="16"/>
      <c r="S31" s="16"/>
      <c r="T31" s="16"/>
    </row>
    <row r="32" spans="1:20" s="13" customFormat="1" ht="25" customHeight="1" x14ac:dyDescent="0.2">
      <c r="A32" s="13">
        <v>21</v>
      </c>
      <c r="B32" s="12" t="b">
        <v>0</v>
      </c>
      <c r="C32" s="13" t="s">
        <v>43</v>
      </c>
      <c r="D32" s="14">
        <f>C5+14</f>
        <v>44886</v>
      </c>
      <c r="F32" s="16"/>
      <c r="G32" s="16"/>
      <c r="H32" s="16"/>
      <c r="I32" s="16"/>
      <c r="J32" s="16"/>
      <c r="K32" s="16"/>
      <c r="L32" s="16"/>
      <c r="M32" s="27"/>
      <c r="N32" s="16"/>
      <c r="O32" s="16"/>
      <c r="P32" s="26"/>
      <c r="Q32" s="16"/>
      <c r="R32" s="16"/>
      <c r="S32" s="16"/>
      <c r="T32" s="16"/>
    </row>
    <row r="33" spans="1:20" s="13" customFormat="1" ht="25" customHeight="1" x14ac:dyDescent="0.2">
      <c r="A33" s="13">
        <v>22</v>
      </c>
      <c r="B33" s="12" t="b">
        <v>0</v>
      </c>
      <c r="C33" s="13" t="s">
        <v>44</v>
      </c>
      <c r="D33" s="14">
        <f>C5+21</f>
        <v>44893</v>
      </c>
      <c r="F33" s="16"/>
      <c r="G33" s="16"/>
      <c r="H33" s="16"/>
      <c r="I33" s="16"/>
      <c r="J33" s="16"/>
      <c r="K33" s="16"/>
      <c r="L33" s="16"/>
      <c r="M33" s="16"/>
      <c r="N33" s="27"/>
      <c r="O33" s="16"/>
      <c r="P33" s="26"/>
      <c r="Q33" s="16"/>
      <c r="R33" s="16"/>
      <c r="S33" s="16"/>
      <c r="T33" s="16"/>
    </row>
    <row r="34" spans="1:20" s="13" customFormat="1" ht="25" customHeight="1" x14ac:dyDescent="0.2">
      <c r="A34" s="13">
        <v>23</v>
      </c>
      <c r="B34" s="12" t="b">
        <v>0</v>
      </c>
      <c r="C34" s="13" t="s">
        <v>45</v>
      </c>
      <c r="D34" s="14">
        <f>C5+28</f>
        <v>44900</v>
      </c>
      <c r="F34" s="16"/>
      <c r="G34" s="16"/>
      <c r="H34" s="16"/>
      <c r="I34" s="16"/>
      <c r="J34" s="16"/>
      <c r="K34" s="16"/>
      <c r="L34" s="16"/>
      <c r="M34" s="16"/>
      <c r="N34" s="16"/>
      <c r="O34" s="27"/>
      <c r="P34" s="26"/>
      <c r="Q34" s="16"/>
      <c r="R34" s="16"/>
      <c r="S34" s="16"/>
      <c r="T34" s="16"/>
    </row>
    <row r="35" spans="1:20" s="13" customFormat="1" ht="25" customHeight="1" x14ac:dyDescent="0.2">
      <c r="A35" s="13">
        <v>24</v>
      </c>
      <c r="B35" s="12" t="b">
        <v>0</v>
      </c>
      <c r="C35" s="13" t="s">
        <v>46</v>
      </c>
      <c r="D35" s="14">
        <f>C5+14</f>
        <v>44886</v>
      </c>
      <c r="F35" s="16"/>
      <c r="G35" s="16"/>
      <c r="H35" s="16"/>
      <c r="I35" s="16"/>
      <c r="J35" s="16"/>
      <c r="K35" s="16"/>
      <c r="L35" s="16"/>
      <c r="M35" s="27"/>
      <c r="N35" s="27"/>
      <c r="O35" s="27"/>
      <c r="P35" s="26"/>
      <c r="Q35" s="16"/>
      <c r="R35" s="16"/>
      <c r="S35" s="16"/>
      <c r="T35" s="16"/>
    </row>
    <row r="36" spans="1:20" s="13" customFormat="1" ht="25" customHeight="1" x14ac:dyDescent="0.2">
      <c r="A36" s="13">
        <v>25</v>
      </c>
      <c r="B36" s="12" t="b">
        <v>0</v>
      </c>
      <c r="C36" s="13" t="s">
        <v>47</v>
      </c>
      <c r="D36" s="14">
        <f>C5+14</f>
        <v>44886</v>
      </c>
      <c r="F36" s="16"/>
      <c r="G36" s="16"/>
      <c r="H36" s="16"/>
      <c r="I36" s="16"/>
      <c r="J36" s="16"/>
      <c r="K36" s="16"/>
      <c r="L36" s="16"/>
      <c r="M36" s="27"/>
      <c r="N36" s="27"/>
      <c r="O36" s="27"/>
      <c r="P36" s="26"/>
      <c r="Q36" s="27"/>
      <c r="R36" s="16"/>
      <c r="S36" s="16"/>
      <c r="T36" s="16"/>
    </row>
    <row r="37" spans="1:20" s="13" customFormat="1" ht="25" customHeight="1" x14ac:dyDescent="0.2">
      <c r="A37" s="13">
        <v>26</v>
      </c>
      <c r="B37" s="12" t="b">
        <v>0</v>
      </c>
      <c r="C37" s="13" t="s">
        <v>48</v>
      </c>
      <c r="D37" s="17">
        <f>C3-14</f>
        <v>44895</v>
      </c>
      <c r="F37" s="16"/>
      <c r="G37" s="16"/>
      <c r="H37" s="16"/>
      <c r="I37" s="16"/>
      <c r="J37" s="16"/>
      <c r="K37" s="16"/>
      <c r="L37" s="16"/>
      <c r="M37" s="16"/>
      <c r="O37" s="27"/>
      <c r="P37" s="26"/>
      <c r="Q37" s="16"/>
      <c r="R37" s="16"/>
      <c r="S37" s="16"/>
      <c r="T37" s="16"/>
    </row>
    <row r="38" spans="1:20" s="13" customFormat="1" ht="25" customHeight="1" x14ac:dyDescent="0.2">
      <c r="A38" s="13">
        <v>27</v>
      </c>
      <c r="B38" s="12" t="b">
        <v>0</v>
      </c>
      <c r="C38" s="13" t="s">
        <v>62</v>
      </c>
      <c r="D38" s="14">
        <f>C3-14</f>
        <v>44895</v>
      </c>
      <c r="F38" s="16"/>
      <c r="G38" s="16"/>
      <c r="H38" s="16"/>
      <c r="I38" s="16"/>
      <c r="J38" s="16"/>
      <c r="K38" s="16"/>
      <c r="L38" s="16"/>
      <c r="M38" s="16"/>
      <c r="N38" s="16"/>
      <c r="O38" s="27"/>
      <c r="P38" s="26"/>
      <c r="Q38" s="27"/>
      <c r="R38" s="16"/>
      <c r="S38" s="16"/>
      <c r="T38" s="16"/>
    </row>
    <row r="39" spans="1:20" s="13" customFormat="1" ht="25" customHeight="1" x14ac:dyDescent="0.2">
      <c r="A39" s="36" t="s">
        <v>61</v>
      </c>
      <c r="B39" s="36"/>
      <c r="C39" s="36"/>
      <c r="D39" s="36"/>
      <c r="E39" s="3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6"/>
      <c r="Q39" s="16"/>
      <c r="R39" s="16"/>
      <c r="S39" s="16"/>
      <c r="T39" s="16"/>
    </row>
    <row r="40" spans="1:20" s="13" customFormat="1" ht="25" customHeight="1" x14ac:dyDescent="0.2">
      <c r="A40" s="13">
        <v>28</v>
      </c>
      <c r="B40" s="12" t="b">
        <v>0</v>
      </c>
      <c r="C40" s="13" t="s">
        <v>49</v>
      </c>
      <c r="D40" s="18">
        <f>C7+1</f>
        <v>44901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6"/>
      <c r="Q40" s="28"/>
      <c r="R40" s="16"/>
      <c r="S40" s="16"/>
      <c r="T40" s="16"/>
    </row>
    <row r="41" spans="1:20" s="13" customFormat="1" ht="25" customHeight="1" x14ac:dyDescent="0.2">
      <c r="A41" s="13">
        <v>29</v>
      </c>
      <c r="B41" s="12"/>
      <c r="C41" s="13" t="s">
        <v>50</v>
      </c>
      <c r="D41" s="18">
        <f>C7+1</f>
        <v>44901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6"/>
      <c r="Q41" s="28"/>
      <c r="R41" s="16"/>
      <c r="S41" s="16"/>
      <c r="T41" s="16"/>
    </row>
    <row r="42" spans="1:20" s="13" customFormat="1" ht="25" customHeight="1" x14ac:dyDescent="0.2">
      <c r="A42" s="13">
        <v>30</v>
      </c>
      <c r="B42" s="12" t="b">
        <v>0</v>
      </c>
      <c r="C42" s="13" t="s">
        <v>55</v>
      </c>
      <c r="D42" s="18">
        <f>C7+2</f>
        <v>44902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6"/>
      <c r="Q42" s="28"/>
      <c r="R42" s="16"/>
      <c r="S42" s="16"/>
      <c r="T42" s="16"/>
    </row>
    <row r="43" spans="1:20" s="13" customFormat="1" ht="25" customHeight="1" x14ac:dyDescent="0.2">
      <c r="A43" s="13">
        <v>32</v>
      </c>
      <c r="B43" s="12"/>
      <c r="C43" s="13" t="s">
        <v>64</v>
      </c>
      <c r="D43" s="18">
        <f>C7+2</f>
        <v>44902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6"/>
      <c r="Q43" s="28"/>
      <c r="R43" s="16"/>
      <c r="S43" s="16"/>
      <c r="T43" s="28"/>
    </row>
    <row r="44" spans="1:20" s="13" customFormat="1" ht="25" customHeight="1" x14ac:dyDescent="0.2">
      <c r="A44" s="13">
        <v>33</v>
      </c>
      <c r="B44" s="12" t="b">
        <v>0</v>
      </c>
      <c r="C44" s="13" t="s">
        <v>63</v>
      </c>
      <c r="D44" s="18">
        <f>C7+2</f>
        <v>44902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6"/>
      <c r="Q44" s="28"/>
      <c r="R44" s="28"/>
      <c r="S44" s="28"/>
      <c r="T44" s="28"/>
    </row>
    <row r="45" spans="1:20" s="13" customFormat="1" ht="25" customHeight="1" x14ac:dyDescent="0.2">
      <c r="A45" s="13">
        <v>34</v>
      </c>
      <c r="B45" s="12" t="b">
        <v>0</v>
      </c>
      <c r="C45" s="13" t="s">
        <v>51</v>
      </c>
      <c r="D45" s="18">
        <f>C3-7</f>
        <v>44902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6"/>
      <c r="Q45" s="28"/>
      <c r="R45" s="28"/>
      <c r="S45" s="16"/>
      <c r="T45" s="16"/>
    </row>
    <row r="46" spans="1:20" s="13" customFormat="1" ht="25" customHeight="1" x14ac:dyDescent="0.2">
      <c r="A46" s="13">
        <v>35</v>
      </c>
      <c r="B46" s="12" t="b">
        <v>0</v>
      </c>
      <c r="C46" s="13" t="s">
        <v>52</v>
      </c>
      <c r="D46" s="18">
        <f>C3</f>
        <v>44909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6"/>
      <c r="Q46" s="16"/>
      <c r="R46" s="28"/>
      <c r="S46" s="16"/>
      <c r="T46" s="16"/>
    </row>
    <row r="47" spans="1:20" s="13" customFormat="1" ht="25" customHeight="1" x14ac:dyDescent="0.2">
      <c r="A47" s="13">
        <v>36</v>
      </c>
      <c r="B47" s="12" t="b">
        <v>0</v>
      </c>
      <c r="C47" s="13" t="s">
        <v>53</v>
      </c>
      <c r="D47" s="18">
        <f>C3+28</f>
        <v>44937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6"/>
      <c r="Q47" s="16"/>
      <c r="R47" s="16"/>
      <c r="S47" s="16"/>
      <c r="T47" s="28"/>
    </row>
    <row r="48" spans="1:20" s="13" customFormat="1" ht="25" customHeight="1" x14ac:dyDescent="0.2">
      <c r="A48" s="32" t="s">
        <v>54</v>
      </c>
      <c r="B48" s="32"/>
      <c r="C48" s="32"/>
      <c r="D48" s="32"/>
      <c r="E48" s="32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6"/>
      <c r="Q48" s="16"/>
      <c r="R48" s="16"/>
      <c r="S48" s="16"/>
      <c r="T48" s="16"/>
    </row>
    <row r="49" spans="1:20" s="13" customFormat="1" ht="25" customHeight="1" x14ac:dyDescent="0.2">
      <c r="A49" s="13">
        <v>37</v>
      </c>
      <c r="B49" s="12" t="b">
        <v>0</v>
      </c>
      <c r="D49" s="18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6"/>
      <c r="Q49" s="16"/>
      <c r="R49" s="16"/>
      <c r="S49" s="16"/>
      <c r="T49" s="16"/>
    </row>
    <row r="50" spans="1:20" s="13" customFormat="1" ht="25" customHeight="1" x14ac:dyDescent="0.2">
      <c r="A50" s="13">
        <v>38</v>
      </c>
      <c r="B50" s="12" t="b">
        <v>0</v>
      </c>
      <c r="D50" s="1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6"/>
      <c r="Q50" s="16"/>
      <c r="R50" s="16"/>
      <c r="S50" s="16"/>
      <c r="T50" s="16"/>
    </row>
    <row r="51" spans="1:20" s="13" customFormat="1" ht="25" customHeight="1" x14ac:dyDescent="0.2">
      <c r="A51" s="13">
        <v>39</v>
      </c>
      <c r="B51" s="12" t="b">
        <v>0</v>
      </c>
      <c r="D51" s="1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6"/>
      <c r="Q51" s="16"/>
      <c r="R51" s="16"/>
      <c r="S51" s="16"/>
      <c r="T51" s="16"/>
    </row>
    <row r="52" spans="1:20" s="13" customFormat="1" ht="25" customHeight="1" x14ac:dyDescent="0.2">
      <c r="A52" s="13">
        <v>40</v>
      </c>
      <c r="B52" s="12" t="b">
        <v>0</v>
      </c>
      <c r="D52" s="1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26"/>
      <c r="Q52" s="16"/>
      <c r="R52" s="16"/>
      <c r="S52" s="16"/>
      <c r="T52" s="16"/>
    </row>
    <row r="53" spans="1:20" ht="23.25" customHeight="1" x14ac:dyDescent="0.2">
      <c r="A53" s="13">
        <v>41</v>
      </c>
      <c r="D53" s="5"/>
      <c r="E53" s="13"/>
    </row>
    <row r="54" spans="1:20" x14ac:dyDescent="0.2">
      <c r="D54" s="5"/>
    </row>
    <row r="55" spans="1:20" x14ac:dyDescent="0.2">
      <c r="D55" s="5"/>
    </row>
    <row r="56" spans="1:20" x14ac:dyDescent="0.2">
      <c r="D56" s="5"/>
    </row>
    <row r="57" spans="1:20" x14ac:dyDescent="0.2">
      <c r="D57" s="5"/>
    </row>
    <row r="58" spans="1:20" x14ac:dyDescent="0.2">
      <c r="D58" s="5"/>
    </row>
  </sheetData>
  <sortState xmlns:xlrd2="http://schemas.microsoft.com/office/spreadsheetml/2017/richdata2" ref="A11:E47">
    <sortCondition ref="A11:A47"/>
  </sortState>
  <mergeCells count="8">
    <mergeCell ref="L8:O8"/>
    <mergeCell ref="P8:T8"/>
    <mergeCell ref="A48:E48"/>
    <mergeCell ref="C1:G1"/>
    <mergeCell ref="A10:E10"/>
    <mergeCell ref="A30:E30"/>
    <mergeCell ref="A39:E39"/>
    <mergeCell ref="F8:K8"/>
  </mergeCells>
  <conditionalFormatting sqref="A30 C11:D29 C31:D38 C40:D41 C43 A39:A43 D41:D45">
    <cfRule type="timePeriod" dxfId="9" priority="10" timePeriod="last7Days">
      <formula>AND(TODAY()-FLOOR(A11,1)&lt;=6,FLOOR(A11,1)&lt;=TODAY())</formula>
    </cfRule>
  </conditionalFormatting>
  <conditionalFormatting sqref="D11:D29 D31:D38 D49:D58 D40:D47">
    <cfRule type="timePeriod" dxfId="8" priority="8" timePeriod="nextWeek">
      <formula>AND(ROUNDDOWN(D11,0)-TODAY()&gt;(7-WEEKDAY(TODAY())),ROUNDDOWN(D11,0)-TODAY()&lt;(15-WEEKDAY(TODAY())))</formula>
    </cfRule>
    <cfRule type="timePeriod" dxfId="7" priority="9" timePeriod="thisWeek">
      <formula>AND(TODAY()-ROUNDDOWN(D11,0)&lt;=WEEKDAY(TODAY())-1,ROUNDDOWN(D11,0)-TODAY()&lt;=7-WEEKDAY(TODAY()))</formula>
    </cfRule>
  </conditionalFormatting>
  <conditionalFormatting sqref="C11:D29 C31:D38 C49:D52 C40:D47">
    <cfRule type="expression" dxfId="6" priority="7">
      <formula>IF(B11=TRUE,TRUE,FALSE)</formula>
    </cfRule>
  </conditionalFormatting>
  <conditionalFormatting sqref="A30 C11:D29 A48 C46:D47 C31:D38 C40:D41 C43 A39:A43 D41:D45">
    <cfRule type="timePeriod" dxfId="5" priority="4" timePeriod="nextWeek">
      <formula>AND(ROUNDDOWN(A11,0)-TODAY()&gt;(7-WEEKDAY(TODAY())),ROUNDDOWN(A11,0)-TODAY()&lt;(15-WEEKDAY(TODAY())))</formula>
    </cfRule>
  </conditionalFormatting>
  <conditionalFormatting sqref="A30 C11:D29 C49:D52 A48 C31:D38 A39:A43 C40:D47">
    <cfRule type="timePeriod" dxfId="4" priority="3" timePeriod="thisWeek">
      <formula>AND(TODAY()-ROUNDDOWN(A11,0)&lt;=WEEKDAY(TODAY())-1,ROUNDDOWN(A11,0)-TODAY()&lt;=7-WEEKDAY(TODAY()))</formula>
    </cfRule>
  </conditionalFormatting>
  <conditionalFormatting sqref="C41">
    <cfRule type="expression" dxfId="3" priority="14">
      <formula>IF(B45=TRUE,TRUE,FALSE)</formula>
    </cfRule>
  </conditionalFormatting>
  <conditionalFormatting sqref="A30 A48 A39">
    <cfRule type="expression" dxfId="2" priority="18">
      <formula>IF(B30=TRUE,TRUE,FALSE)</formula>
    </cfRule>
  </conditionalFormatting>
  <conditionalFormatting sqref="C40">
    <cfRule type="expression" dxfId="1" priority="19">
      <formula>IF(B44=TRUE,TRUE,FALSE)</formula>
    </cfRule>
  </conditionalFormatting>
  <conditionalFormatting sqref="C43">
    <cfRule type="expression" dxfId="0" priority="41">
      <formula>IF(B45=TRUE,TRUE,FALSE)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38100</xdr:rowOff>
                  </from>
                  <to>
                    <xdr:col>4</xdr:col>
                    <xdr:colOff>431800</xdr:colOff>
                    <xdr:row>14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38100</xdr:rowOff>
                  </from>
                  <to>
                    <xdr:col>4</xdr:col>
                    <xdr:colOff>431800</xdr:colOff>
                    <xdr:row>15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215900</xdr:colOff>
                    <xdr:row>22</xdr:row>
                    <xdr:rowOff>38100</xdr:rowOff>
                  </from>
                  <to>
                    <xdr:col>4</xdr:col>
                    <xdr:colOff>419100</xdr:colOff>
                    <xdr:row>22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4</xdr:col>
                    <xdr:colOff>241300</xdr:colOff>
                    <xdr:row>25</xdr:row>
                    <xdr:rowOff>38100</xdr:rowOff>
                  </from>
                  <to>
                    <xdr:col>4</xdr:col>
                    <xdr:colOff>431800</xdr:colOff>
                    <xdr:row>25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50800</xdr:rowOff>
                  </from>
                  <to>
                    <xdr:col>4</xdr:col>
                    <xdr:colOff>431800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4</xdr:col>
                    <xdr:colOff>215900</xdr:colOff>
                    <xdr:row>20</xdr:row>
                    <xdr:rowOff>63500</xdr:rowOff>
                  </from>
                  <to>
                    <xdr:col>4</xdr:col>
                    <xdr:colOff>406400</xdr:colOff>
                    <xdr:row>20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4</xdr:col>
                    <xdr:colOff>241300</xdr:colOff>
                    <xdr:row>24</xdr:row>
                    <xdr:rowOff>38100</xdr:rowOff>
                  </from>
                  <to>
                    <xdr:col>4</xdr:col>
                    <xdr:colOff>444500</xdr:colOff>
                    <xdr:row>24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4</xdr:col>
                    <xdr:colOff>241300</xdr:colOff>
                    <xdr:row>27</xdr:row>
                    <xdr:rowOff>38100</xdr:rowOff>
                  </from>
                  <to>
                    <xdr:col>4</xdr:col>
                    <xdr:colOff>431800</xdr:colOff>
                    <xdr:row>27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4</xdr:col>
                    <xdr:colOff>241300</xdr:colOff>
                    <xdr:row>23</xdr:row>
                    <xdr:rowOff>38100</xdr:rowOff>
                  </from>
                  <to>
                    <xdr:col>4</xdr:col>
                    <xdr:colOff>431800</xdr:colOff>
                    <xdr:row>23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38100</xdr:rowOff>
                  </from>
                  <to>
                    <xdr:col>4</xdr:col>
                    <xdr:colOff>431800</xdr:colOff>
                    <xdr:row>19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38100</xdr:rowOff>
                  </from>
                  <to>
                    <xdr:col>4</xdr:col>
                    <xdr:colOff>431800</xdr:colOff>
                    <xdr:row>26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38100</xdr:rowOff>
                  </from>
                  <to>
                    <xdr:col>4</xdr:col>
                    <xdr:colOff>431800</xdr:colOff>
                    <xdr:row>30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4</xdr:col>
                    <xdr:colOff>215900</xdr:colOff>
                    <xdr:row>31</xdr:row>
                    <xdr:rowOff>38100</xdr:rowOff>
                  </from>
                  <to>
                    <xdr:col>4</xdr:col>
                    <xdr:colOff>419100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4</xdr:col>
                    <xdr:colOff>241300</xdr:colOff>
                    <xdr:row>33</xdr:row>
                    <xdr:rowOff>38100</xdr:rowOff>
                  </from>
                  <to>
                    <xdr:col>4</xdr:col>
                    <xdr:colOff>431800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4</xdr:col>
                    <xdr:colOff>215900</xdr:colOff>
                    <xdr:row>35</xdr:row>
                    <xdr:rowOff>38100</xdr:rowOff>
                  </from>
                  <to>
                    <xdr:col>4</xdr:col>
                    <xdr:colOff>406400</xdr:colOff>
                    <xdr:row>35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9" name="Check Box 25">
              <controlPr defaultSize="0" autoFill="0" autoLine="0" autoPict="0">
                <anchor moveWithCells="1">
                  <from>
                    <xdr:col>4</xdr:col>
                    <xdr:colOff>241300</xdr:colOff>
                    <xdr:row>10</xdr:row>
                    <xdr:rowOff>50800</xdr:rowOff>
                  </from>
                  <to>
                    <xdr:col>4</xdr:col>
                    <xdr:colOff>444500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0" name="Check Box 26">
              <controlPr defaultSize="0" autoFill="0" autoLine="0" autoPict="0">
                <anchor moveWithCells="1">
                  <from>
                    <xdr:col>4</xdr:col>
                    <xdr:colOff>215900</xdr:colOff>
                    <xdr:row>17</xdr:row>
                    <xdr:rowOff>50800</xdr:rowOff>
                  </from>
                  <to>
                    <xdr:col>4</xdr:col>
                    <xdr:colOff>406400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1" name="Check Box 27">
              <controlPr defaultSize="0" autoFill="0" autoLine="0" autoPict="0">
                <anchor moveWithCells="1">
                  <from>
                    <xdr:col>4</xdr:col>
                    <xdr:colOff>241300</xdr:colOff>
                    <xdr:row>34</xdr:row>
                    <xdr:rowOff>50800</xdr:rowOff>
                  </from>
                  <to>
                    <xdr:col>4</xdr:col>
                    <xdr:colOff>444500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2" name="Check Box 28">
              <controlPr defaultSize="0" autoFill="0" autoLine="0" autoPict="0">
                <anchor moveWithCells="1">
                  <from>
                    <xdr:col>4</xdr:col>
                    <xdr:colOff>241300</xdr:colOff>
                    <xdr:row>16</xdr:row>
                    <xdr:rowOff>50800</xdr:rowOff>
                  </from>
                  <to>
                    <xdr:col>4</xdr:col>
                    <xdr:colOff>431800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3" name="Check Box 41">
              <controlPr defaultSize="0" autoFill="0" autoLine="0" autoPict="0">
                <anchor moveWithCells="1">
                  <from>
                    <xdr:col>4</xdr:col>
                    <xdr:colOff>241300</xdr:colOff>
                    <xdr:row>11</xdr:row>
                    <xdr:rowOff>50800</xdr:rowOff>
                  </from>
                  <to>
                    <xdr:col>4</xdr:col>
                    <xdr:colOff>444500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4" name="Check Box 42">
              <controlPr defaultSize="0" autoFill="0" autoLine="0" autoPict="0">
                <anchor moveWithCells="1">
                  <from>
                    <xdr:col>4</xdr:col>
                    <xdr:colOff>241300</xdr:colOff>
                    <xdr:row>12</xdr:row>
                    <xdr:rowOff>50800</xdr:rowOff>
                  </from>
                  <to>
                    <xdr:col>4</xdr:col>
                    <xdr:colOff>444500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5" name="Check Box 43">
              <controlPr defaultSize="0" autoFill="0" autoLine="0" autoPict="0">
                <anchor moveWithCells="1">
                  <from>
                    <xdr:col>4</xdr:col>
                    <xdr:colOff>241300</xdr:colOff>
                    <xdr:row>13</xdr:row>
                    <xdr:rowOff>50800</xdr:rowOff>
                  </from>
                  <to>
                    <xdr:col>4</xdr:col>
                    <xdr:colOff>444500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6" name="Check Box 45">
              <controlPr defaultSize="0" autoFill="0" autoLine="0" autoPict="0">
                <anchor moveWithCells="1">
                  <from>
                    <xdr:col>4</xdr:col>
                    <xdr:colOff>215900</xdr:colOff>
                    <xdr:row>21</xdr:row>
                    <xdr:rowOff>38100</xdr:rowOff>
                  </from>
                  <to>
                    <xdr:col>4</xdr:col>
                    <xdr:colOff>419100</xdr:colOff>
                    <xdr:row>21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7" name="Check Box 46">
              <controlPr defaultSize="0" autoFill="0" autoLine="0" autoPict="0">
                <anchor moveWithCells="1">
                  <from>
                    <xdr:col>4</xdr:col>
                    <xdr:colOff>241300</xdr:colOff>
                    <xdr:row>36</xdr:row>
                    <xdr:rowOff>38100</xdr:rowOff>
                  </from>
                  <to>
                    <xdr:col>4</xdr:col>
                    <xdr:colOff>431800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8" name="Check Box 61">
              <controlPr defaultSize="0" autoFill="0" autoLine="0" autoPict="0">
                <anchor moveWithCells="1">
                  <from>
                    <xdr:col>4</xdr:col>
                    <xdr:colOff>215900</xdr:colOff>
                    <xdr:row>32</xdr:row>
                    <xdr:rowOff>38100</xdr:rowOff>
                  </from>
                  <to>
                    <xdr:col>4</xdr:col>
                    <xdr:colOff>419100</xdr:colOff>
                    <xdr:row>32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9" name="Check Box 62">
              <controlPr defaultSize="0" autoFill="0" autoLine="0" autoPict="0">
                <anchor moveWithCells="1">
                  <from>
                    <xdr:col>4</xdr:col>
                    <xdr:colOff>254000</xdr:colOff>
                    <xdr:row>48</xdr:row>
                    <xdr:rowOff>50800</xdr:rowOff>
                  </from>
                  <to>
                    <xdr:col>4</xdr:col>
                    <xdr:colOff>444500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0" name="Check Box 63">
              <controlPr defaultSize="0" autoFill="0" autoLine="0" autoPict="0">
                <anchor moveWithCells="1">
                  <from>
                    <xdr:col>4</xdr:col>
                    <xdr:colOff>254000</xdr:colOff>
                    <xdr:row>49</xdr:row>
                    <xdr:rowOff>50800</xdr:rowOff>
                  </from>
                  <to>
                    <xdr:col>4</xdr:col>
                    <xdr:colOff>444500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1" name="Check Box 64">
              <controlPr defaultSize="0" autoFill="0" autoLine="0" autoPict="0">
                <anchor moveWithCells="1">
                  <from>
                    <xdr:col>4</xdr:col>
                    <xdr:colOff>254000</xdr:colOff>
                    <xdr:row>50</xdr:row>
                    <xdr:rowOff>50800</xdr:rowOff>
                  </from>
                  <to>
                    <xdr:col>4</xdr:col>
                    <xdr:colOff>444500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2" name="Check Box 65">
              <controlPr defaultSize="0" autoFill="0" autoLine="0" autoPict="0">
                <anchor moveWithCells="1">
                  <from>
                    <xdr:col>4</xdr:col>
                    <xdr:colOff>254000</xdr:colOff>
                    <xdr:row>51</xdr:row>
                    <xdr:rowOff>50800</xdr:rowOff>
                  </from>
                  <to>
                    <xdr:col>4</xdr:col>
                    <xdr:colOff>444500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3" name="Check Box 67">
              <controlPr defaultSize="0" autoFill="0" autoLine="0" autoPict="0">
                <anchor moveWithCells="1">
                  <from>
                    <xdr:col>4</xdr:col>
                    <xdr:colOff>215900</xdr:colOff>
                    <xdr:row>37</xdr:row>
                    <xdr:rowOff>38100</xdr:rowOff>
                  </from>
                  <to>
                    <xdr:col>4</xdr:col>
                    <xdr:colOff>406400</xdr:colOff>
                    <xdr:row>37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4" name="Check Box 68">
              <controlPr defaultSize="0" autoFill="0" autoLine="0" autoPict="0">
                <anchor moveWithCells="1">
                  <from>
                    <xdr:col>4</xdr:col>
                    <xdr:colOff>241300</xdr:colOff>
                    <xdr:row>28</xdr:row>
                    <xdr:rowOff>38100</xdr:rowOff>
                  </from>
                  <to>
                    <xdr:col>4</xdr:col>
                    <xdr:colOff>431800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5" name="Check Box 69">
              <controlPr defaultSize="0" autoFill="0" autoLine="0" autoPict="0">
                <anchor moveWithCells="1">
                  <from>
                    <xdr:col>4</xdr:col>
                    <xdr:colOff>254000</xdr:colOff>
                    <xdr:row>45</xdr:row>
                    <xdr:rowOff>25400</xdr:rowOff>
                  </from>
                  <to>
                    <xdr:col>4</xdr:col>
                    <xdr:colOff>444500</xdr:colOff>
                    <xdr:row>45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6" name="Check Box 70">
              <controlPr defaultSize="0" autoFill="0" autoLine="0" autoPict="0">
                <anchor moveWithCells="1">
                  <from>
                    <xdr:col>4</xdr:col>
                    <xdr:colOff>254000</xdr:colOff>
                    <xdr:row>39</xdr:row>
                    <xdr:rowOff>25400</xdr:rowOff>
                  </from>
                  <to>
                    <xdr:col>4</xdr:col>
                    <xdr:colOff>444500</xdr:colOff>
                    <xdr:row>39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7" name="Check Box 71">
              <controlPr defaultSize="0" autoFill="0" autoLine="0" autoPict="0">
                <anchor moveWithCells="1">
                  <from>
                    <xdr:col>4</xdr:col>
                    <xdr:colOff>254000</xdr:colOff>
                    <xdr:row>41</xdr:row>
                    <xdr:rowOff>25400</xdr:rowOff>
                  </from>
                  <to>
                    <xdr:col>4</xdr:col>
                    <xdr:colOff>444500</xdr:colOff>
                    <xdr:row>41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8" name="Check Box 72">
              <controlPr defaultSize="0" autoFill="0" autoLine="0" autoPict="0">
                <anchor moveWithCells="1">
                  <from>
                    <xdr:col>4</xdr:col>
                    <xdr:colOff>254000</xdr:colOff>
                    <xdr:row>44</xdr:row>
                    <xdr:rowOff>25400</xdr:rowOff>
                  </from>
                  <to>
                    <xdr:col>4</xdr:col>
                    <xdr:colOff>444500</xdr:colOff>
                    <xdr:row>44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9" name="Check Box 73">
              <controlPr defaultSize="0" autoFill="0" autoLine="0" autoPict="0">
                <anchor moveWithCells="1">
                  <from>
                    <xdr:col>4</xdr:col>
                    <xdr:colOff>254000</xdr:colOff>
                    <xdr:row>46</xdr:row>
                    <xdr:rowOff>25400</xdr:rowOff>
                  </from>
                  <to>
                    <xdr:col>4</xdr:col>
                    <xdr:colOff>444500</xdr:colOff>
                    <xdr:row>46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0" name="Check Box 74">
              <controlPr defaultSize="0" autoFill="0" autoLine="0" autoPict="0">
                <anchor moveWithCells="1">
                  <from>
                    <xdr:col>4</xdr:col>
                    <xdr:colOff>254000</xdr:colOff>
                    <xdr:row>43</xdr:row>
                    <xdr:rowOff>25400</xdr:rowOff>
                  </from>
                  <to>
                    <xdr:col>4</xdr:col>
                    <xdr:colOff>444500</xdr:colOff>
                    <xdr:row>43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1" name="Check Box 75">
              <controlPr defaultSize="0" autoFill="0" autoLine="0" autoPict="0">
                <anchor moveWithCells="1">
                  <from>
                    <xdr:col>4</xdr:col>
                    <xdr:colOff>254000</xdr:colOff>
                    <xdr:row>52</xdr:row>
                    <xdr:rowOff>50800</xdr:rowOff>
                  </from>
                  <to>
                    <xdr:col>4</xdr:col>
                    <xdr:colOff>444500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2" name="Check Box 76">
              <controlPr defaultSize="0" autoFill="0" autoLine="0" autoPict="0">
                <anchor moveWithCells="1">
                  <from>
                    <xdr:col>4</xdr:col>
                    <xdr:colOff>254000</xdr:colOff>
                    <xdr:row>40</xdr:row>
                    <xdr:rowOff>25400</xdr:rowOff>
                  </from>
                  <to>
                    <xdr:col>4</xdr:col>
                    <xdr:colOff>444500</xdr:colOff>
                    <xdr:row>40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3" name="Check Box 77">
              <controlPr defaultSize="0" autoFill="0" autoLine="0" autoPict="0">
                <anchor moveWithCells="1">
                  <from>
                    <xdr:col>4</xdr:col>
                    <xdr:colOff>254000</xdr:colOff>
                    <xdr:row>42</xdr:row>
                    <xdr:rowOff>25400</xdr:rowOff>
                  </from>
                  <to>
                    <xdr:col>4</xdr:col>
                    <xdr:colOff>444500</xdr:colOff>
                    <xdr:row>42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9464be75-fc0f-4c74-b7a9-67e6b6b30f78">2022-09-28T20:00:00+00:00</Dateandtime>
    <Date_x0020__x0026__x0020_Time xmlns="9464be75-fc0f-4c74-b7a9-67e6b6b30f78">2022-09-28T20:00:00+00:00</Date_x0020__x0026__x0020_Time>
    <lcf76f155ced4ddcb4097134ff3c332f xmlns="9464be75-fc0f-4c74-b7a9-67e6b6b30f78">
      <Terms xmlns="http://schemas.microsoft.com/office/infopath/2007/PartnerControls"/>
    </lcf76f155ced4ddcb4097134ff3c332f>
    <TaxCatchAll xmlns="47019a7e-a60c-4a1f-b4fd-44452cf97621" xsi:nil="true"/>
    <_Flow_SignoffStatus xmlns="9464be75-fc0f-4c74-b7a9-67e6b6b30f78" xsi:nil="true"/>
    <Person xmlns="9464be75-fc0f-4c74-b7a9-67e6b6b30f78">
      <UserInfo>
        <DisplayName/>
        <AccountId xsi:nil="true"/>
        <AccountType/>
      </UserInfo>
    </Person>
    <SharedWithUsers xmlns="47019a7e-a60c-4a1f-b4fd-44452cf97621">
      <UserInfo>
        <DisplayName>Brent Potter</DisplayName>
        <AccountId>10774</AccountId>
        <AccountType/>
      </UserInfo>
      <UserInfo>
        <DisplayName>Kat Larrea</DisplayName>
        <AccountId>843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9F4D4AED8BDC44AAAD872D46454869" ma:contentTypeVersion="23" ma:contentTypeDescription="Create a new document." ma:contentTypeScope="" ma:versionID="7154683c0dddfab9afbfc3b5cb7aba43">
  <xsd:schema xmlns:xsd="http://www.w3.org/2001/XMLSchema" xmlns:xs="http://www.w3.org/2001/XMLSchema" xmlns:p="http://schemas.microsoft.com/office/2006/metadata/properties" xmlns:ns2="47019a7e-a60c-4a1f-b4fd-44452cf97621" xmlns:ns3="9464be75-fc0f-4c74-b7a9-67e6b6b30f78" targetNamespace="http://schemas.microsoft.com/office/2006/metadata/properties" ma:root="true" ma:fieldsID="ac01101e590f5c55fc265fb8c1af608d" ns2:_="" ns3:_="">
    <xsd:import namespace="47019a7e-a60c-4a1f-b4fd-44452cf97621"/>
    <xsd:import namespace="9464be75-fc0f-4c74-b7a9-67e6b6b30f7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Flow_SignoffStatus" minOccurs="0"/>
                <xsd:element ref="ns3:Dateandtime" minOccurs="0"/>
                <xsd:element ref="ns3:MediaLengthInSeconds" minOccurs="0"/>
                <xsd:element ref="ns3:Person" minOccurs="0"/>
                <xsd:element ref="ns3:Date_x0020__x0026__x0020_Time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19a7e-a60c-4a1f-b4fd-44452cf976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c40076c-e6fb-4d57-baf1-f991dbe98c27}" ma:internalName="TaxCatchAll" ma:showField="CatchAllData" ma:web="47019a7e-a60c-4a1f-b4fd-44452cf97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4be75-fc0f-4c74-b7a9-67e6b6b30f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_x0020__x0026__x0020_Time" ma:index="24" nillable="true" ma:displayName="Date &amp; Time" ma:format="DateTime" ma:internalName="Date_x0020__x0026__x0020_Time">
      <xsd:simpleType>
        <xsd:restriction base="dms:DateTime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8a19ee54-46e1-4f28-9254-181b3d6e1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16A91B-4075-4D71-8DB6-959B5A104B9F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47019a7e-a60c-4a1f-b4fd-44452cf97621"/>
    <ds:schemaRef ds:uri="http://schemas.microsoft.com/office/2006/documentManagement/types"/>
    <ds:schemaRef ds:uri="http://schemas.openxmlformats.org/package/2006/metadata/core-properties"/>
    <ds:schemaRef ds:uri="9464be75-fc0f-4c74-b7a9-67e6b6b30f7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8D78861-744F-41AB-AACC-DFB9DB222D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28DB7D-9AA6-43D5-8706-BD668E136E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019a7e-a60c-4a1f-b4fd-44452cf97621"/>
    <ds:schemaRef ds:uri="9464be75-fc0f-4c74-b7a9-67e6b6b30f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Wright</dc:creator>
  <cp:keywords/>
  <dc:description/>
  <cp:lastModifiedBy>Deb Pias</cp:lastModifiedBy>
  <cp:revision/>
  <dcterms:created xsi:type="dcterms:W3CDTF">2022-09-27T14:00:22Z</dcterms:created>
  <dcterms:modified xsi:type="dcterms:W3CDTF">2023-07-24T21:00:31Z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0x010100BC9F4D4AED8BDC44AAAD872D46454869</vt:lpwstr>
  </property>
</Properties>
</file>