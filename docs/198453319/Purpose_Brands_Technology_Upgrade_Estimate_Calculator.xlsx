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urposebrands-my.sharepoint.com/personal/shelby_kriesel_purposebrands_com/Documents/Desktop/"/>
    </mc:Choice>
  </mc:AlternateContent>
  <xr:revisionPtr revIDLastSave="0" documentId="8_{9B96433B-AD48-4D39-8319-583FF4DC37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imator" sheetId="1" r:id="rId1"/>
    <sheet name="Cost Reference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D14" i="1"/>
  <c r="E13" i="1"/>
  <c r="D13" i="1"/>
  <c r="E12" i="1"/>
  <c r="D12" i="1"/>
  <c r="E11" i="1"/>
  <c r="D11" i="1"/>
  <c r="E10" i="1"/>
  <c r="D10" i="1"/>
  <c r="E9" i="1"/>
  <c r="D9" i="1"/>
  <c r="F5" i="1"/>
  <c r="C15" i="1" s="1"/>
  <c r="E15" i="1" l="1"/>
  <c r="E16" i="1" s="1"/>
  <c r="D5" i="1" s="1"/>
  <c r="D15" i="1"/>
  <c r="D16" i="1" s="1"/>
  <c r="B5" i="1" s="1"/>
</calcChain>
</file>

<file path=xl/sharedStrings.xml><?xml version="1.0" encoding="utf-8"?>
<sst xmlns="http://schemas.openxmlformats.org/spreadsheetml/2006/main" count="87" uniqueCount="75">
  <si>
    <t>Technology Upgrade Budget Estimator</t>
  </si>
  <si>
    <t>Use the dropdowns below to estimate a club's technology upgrade range. Items marked Not sure are included in the budget until site details are confirmed.</t>
  </si>
  <si>
    <t>ESTIMATED TOTAL RANGE</t>
  </si>
  <si>
    <t>Low Estimate</t>
  </si>
  <si>
    <t>High Estimate</t>
  </si>
  <si>
    <t>Site Variables</t>
  </si>
  <si>
    <t>Planning estimate only. Final pricing will be based on the confirmed site conditions and scope of work.</t>
  </si>
  <si>
    <t>ELEMENT</t>
  </si>
  <si>
    <t>SELF-CHECK QUESTION</t>
  </si>
  <si>
    <t>YOUR ANSWER</t>
  </si>
  <si>
    <t>LOW ESTIMATE</t>
  </si>
  <si>
    <t>HIGH ESTIMATE</t>
  </si>
  <si>
    <t>CONSIDERATIONS</t>
  </si>
  <si>
    <t>Standard Scope Upgrade</t>
  </si>
  <si>
    <t>Included in every technology upgrade.</t>
  </si>
  <si>
    <t>Included</t>
  </si>
  <si>
    <t>Cameras, network equipment, tailgate system, configuration, installation, and implementation.</t>
  </si>
  <si>
    <t>Club Size &amp; Layout</t>
  </si>
  <si>
    <t>Is the club larger than 5,000 sq. ft., segmented, or multi-floor?</t>
  </si>
  <si>
    <t>No</t>
  </si>
  <si>
    <t>If yes or not sure, budget for additional cameras and/or Wi-Fi access points.</t>
  </si>
  <si>
    <t>Entrances / Recovery Rooms</t>
  </si>
  <si>
    <t>Does the club have multiple member entrances or recovery rooms needing access control?</t>
  </si>
  <si>
    <t>If yes or not sure, additional tailgates and access control may be needed.</t>
  </si>
  <si>
    <t>Alarm System</t>
  </si>
  <si>
    <t>Can the existing alarm system pass a system functionality test?</t>
  </si>
  <si>
    <t>Pass</t>
  </si>
  <si>
    <t>If fail or not sure, budget for an alarm system upgrade until testing confirms otherwise.</t>
  </si>
  <si>
    <t>Provision Network Rack</t>
  </si>
  <si>
    <t>Does the club already have a Provision network rack?</t>
  </si>
  <si>
    <t>Yes</t>
  </si>
  <si>
    <t>If no or not sure, a network rack should be included.</t>
  </si>
  <si>
    <t>High Ceilings</t>
  </si>
  <si>
    <t>Are any camera locations above 14 feet?</t>
  </si>
  <si>
    <t>If yes or not sure, budget for drop poles, mounting hardware, and lift rental.</t>
  </si>
  <si>
    <t>Extended Installation</t>
  </si>
  <si>
    <t>Auto-calculated when more than two site variables apply.</t>
  </si>
  <si>
    <t>A second installation day may be needed depending on final scope and site conditions.</t>
  </si>
  <si>
    <t>ESTIMATED TOTAL</t>
  </si>
  <si>
    <t>1</t>
  </si>
  <si>
    <t>Use the dropdowns in the Your Answer column to identify likely site variables.</t>
  </si>
  <si>
    <t>2</t>
  </si>
  <si>
    <t>If an item is unknown, select Not sure. The estimator includes that item so the franchisee can budget conservatively.</t>
  </si>
  <si>
    <t>3</t>
  </si>
  <si>
    <t>Use the estimated range for planning only; the final quote will be based on site conditions and confirmed scope of work.</t>
  </si>
  <si>
    <t>4</t>
  </si>
  <si>
    <t>If the club has several site variables, allow for additional coordination and a potential two-day installation.</t>
  </si>
  <si>
    <t>Technology Upgrade Cost Reference</t>
  </si>
  <si>
    <t>Planning ranges are provided so franchisees can estimate potential technology upgrade costs before final site review and SOW confirmation.</t>
  </si>
  <si>
    <t>Estimated range:</t>
  </si>
  <si>
    <t>$14,150 to $28,000+</t>
  </si>
  <si>
    <t>Required base package: cameras, network equipment, tailgate system, configuration, installation, and implementation.</t>
  </si>
  <si>
    <t>Budget for additional cameras and/or Wi-Fi access points if the club is larger than 5,000 sq. ft., has a segmented layout, or has multiple floors.</t>
  </si>
  <si>
    <t>Multiple Entrances / Recovery Rooms</t>
  </si>
  <si>
    <t>Additional tailgates and access control may be required for multiple member entrances or recovery rooms requiring controlled access.</t>
  </si>
  <si>
    <t>If the existing alarm system cannot pass a system functionality test, an alarm system upgrade should be budgeted.</t>
  </si>
  <si>
    <t>If the club does not currently have a Provision network rack, a rack will be required.</t>
  </si>
  <si>
    <t>Camera locations above 14 feet may require drop poles, additional mounting hardware, and lift rental.</t>
  </si>
  <si>
    <t>If more than two site variables apply, plan for a potential two-day installation. Final determination depends on the confirmed scope.</t>
  </si>
  <si>
    <t>Quick Planning Ranges</t>
  </si>
  <si>
    <t>CLUB TYPE</t>
  </si>
  <si>
    <t>LOW</t>
  </si>
  <si>
    <t>HIGH</t>
  </si>
  <si>
    <t>WHEN THIS TYPICALLY APPLIES</t>
  </si>
  <si>
    <t>Standard club</t>
  </si>
  <si>
    <t>No major site variables identified.</t>
  </si>
  <si>
    <t>Club with 1-2 site variables</t>
  </si>
  <si>
    <t>One or two add-ons are likely, such as added cameras/APs, access control, rack, alarm, or lift needs.</t>
  </si>
  <si>
    <t>Large or complex club</t>
  </si>
  <si>
    <t>Multiple variables apply. Budget may exceed this range after final site review.</t>
  </si>
  <si>
    <t>Important note:</t>
  </si>
  <si>
    <t>These figures are planning estimates only. Final pricing depends on site conditions, equipment needs, delivery requirements, and confirmed scope of work.</t>
  </si>
  <si>
    <t>SELF-SERVICE COST CALCULATOR</t>
  </si>
  <si>
    <t>PLANNING NOTES</t>
  </si>
  <si>
    <t>Cost estimates do not include shipping or taxes.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</si>
</sst>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3">
    <font>
      <sz val="11"/>
      <name val="Carlito"/>
    </font>
    <font>
      <b/>
      <sz val="18"/>
      <color rgb="FF222222"/>
      <name val="Aptos Display"/>
    </font>
    <font>
      <sz val="10"/>
      <color rgb="FF374151"/>
      <name val="Aptos"/>
    </font>
    <font>
      <b/>
      <sz val="10"/>
      <color rgb="FF2F3136"/>
      <name val="Aptos"/>
    </font>
    <font>
      <sz val="10"/>
      <color rgb="FF222222"/>
      <name val="Aptos"/>
    </font>
    <font>
      <b/>
      <sz val="10"/>
      <color rgb="FFFFFFFF"/>
      <name val="Aptos"/>
    </font>
    <font>
      <b/>
      <sz val="10"/>
      <color rgb="FF222222"/>
      <name val="Aptos"/>
    </font>
    <font>
      <b/>
      <sz val="12"/>
      <color rgb="FF222222"/>
      <name val="Aptos"/>
      <family val="2"/>
    </font>
    <font>
      <b/>
      <sz val="14"/>
      <color rgb="FF374151"/>
      <name val="Aptos"/>
      <family val="2"/>
    </font>
    <font>
      <b/>
      <sz val="14"/>
      <color rgb="FF222222"/>
      <name val="Aptos"/>
      <family val="2"/>
    </font>
    <font>
      <b/>
      <sz val="10"/>
      <color rgb="FFFFFFFF"/>
      <name val="Aptos"/>
      <family val="2"/>
    </font>
    <font>
      <sz val="11"/>
      <color rgb="FF222222"/>
      <name val="Aptos"/>
      <family val="2"/>
    </font>
    <font>
      <sz val="9"/>
      <color rgb="FF222222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2F3136"/>
      </patternFill>
    </fill>
    <fill>
      <patternFill patternType="solid">
        <fgColor rgb="FFF7F7F7"/>
      </patternFill>
    </fill>
    <fill>
      <patternFill patternType="solid">
        <fgColor rgb="FFE5E7EB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0" fontId="4" fillId="0" borderId="0" xfId="0" applyFont="1"/>
    <xf numFmtId="0" fontId="6" fillId="0" borderId="0" xfId="0" applyFont="1"/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top" wrapText="1"/>
    </xf>
    <xf numFmtId="0" fontId="4" fillId="5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center"/>
    </xf>
    <xf numFmtId="164" fontId="6" fillId="2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4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/>
    <xf numFmtId="164" fontId="6" fillId="2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center"/>
    </xf>
    <xf numFmtId="164" fontId="7" fillId="6" borderId="2" xfId="0" applyNumberFormat="1" applyFont="1" applyFill="1" applyBorder="1" applyAlignment="1">
      <alignment horizontal="left" vertical="center"/>
    </xf>
    <xf numFmtId="0" fontId="7" fillId="6" borderId="2" xfId="0" applyFont="1" applyFill="1" applyBorder="1" applyAlignment="1">
      <alignment vertical="center"/>
    </xf>
    <xf numFmtId="0" fontId="5" fillId="7" borderId="0" xfId="0" applyFont="1" applyFill="1" applyAlignment="1">
      <alignment horizontal="left" vertical="center"/>
    </xf>
    <xf numFmtId="0" fontId="4" fillId="7" borderId="0" xfId="0" applyFont="1" applyFill="1"/>
    <xf numFmtId="0" fontId="10" fillId="7" borderId="0" xfId="0" applyFont="1" applyFill="1" applyAlignment="1">
      <alignment horizontal="left" vertical="center"/>
    </xf>
    <xf numFmtId="0" fontId="1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8D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Neutral Resource Center">
  <a:themeElements>
    <a:clrScheme name="Neutral Resource Center">
      <a:dk1>
        <a:srgbClr val="111827"/>
      </a:dk1>
      <a:lt1>
        <a:srgbClr val="FFFFFF"/>
      </a:lt1>
      <a:dk2>
        <a:srgbClr val="0E2841"/>
      </a:dk2>
      <a:lt2>
        <a:srgbClr val="F3F4F6"/>
      </a:lt2>
      <a:accent1>
        <a:srgbClr val="2F3136"/>
      </a:accent1>
      <a:accent2>
        <a:srgbClr val="6B7280"/>
      </a:accent2>
      <a:accent3>
        <a:srgbClr val="D1D5DB"/>
      </a:accent3>
      <a:accent4>
        <a:srgbClr val="F3F4F6"/>
      </a:accent4>
      <a:accent5>
        <a:srgbClr val="E5E7EB"/>
      </a:accent5>
      <a:accent6>
        <a:srgbClr val="F9FAFB"/>
      </a:accent6>
      <a:hlink>
        <a:srgbClr val="374151"/>
      </a:hlink>
      <a:folHlink>
        <a:srgbClr val="4B5563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eutral Resource Center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L15" sqref="L15"/>
    </sheetView>
  </sheetViews>
  <sheetFormatPr defaultRowHeight="14.25"/>
  <cols>
    <col min="1" max="1" width="15.75" customWidth="1"/>
    <col min="2" max="2" width="17.5" customWidth="1"/>
    <col min="3" max="3" width="18" customWidth="1"/>
    <col min="4" max="5" width="16" customWidth="1"/>
    <col min="6" max="6" width="19.125" customWidth="1"/>
  </cols>
  <sheetData>
    <row r="1" spans="1:6" ht="30" customHeight="1">
      <c r="A1" s="15" t="s">
        <v>0</v>
      </c>
      <c r="B1" s="16"/>
      <c r="C1" s="16"/>
      <c r="D1" s="16"/>
      <c r="E1" s="16"/>
      <c r="F1" s="16"/>
    </row>
    <row r="2" spans="1:6" ht="39.75" customHeight="1">
      <c r="A2" s="21" t="s">
        <v>1</v>
      </c>
      <c r="B2" s="22"/>
      <c r="C2" s="22"/>
      <c r="D2" s="22"/>
      <c r="E2" s="22"/>
      <c r="F2" s="22"/>
    </row>
    <row r="3" spans="1:6" ht="3.75" customHeight="1">
      <c r="A3" s="4"/>
      <c r="B3" s="4"/>
      <c r="C3" s="4"/>
      <c r="D3" s="4"/>
      <c r="E3" s="4"/>
      <c r="F3" s="4"/>
    </row>
    <row r="4" spans="1:6" ht="24" customHeight="1">
      <c r="A4" s="29" t="s">
        <v>2</v>
      </c>
      <c r="B4" s="30"/>
      <c r="C4" s="30"/>
      <c r="D4" s="30"/>
      <c r="E4" s="30"/>
      <c r="F4" s="30"/>
    </row>
    <row r="5" spans="1:6" ht="42" customHeight="1">
      <c r="A5" s="11" t="s">
        <v>3</v>
      </c>
      <c r="B5" s="23">
        <f>D16</f>
        <v>14150</v>
      </c>
      <c r="C5" s="12" t="s">
        <v>4</v>
      </c>
      <c r="D5" s="23">
        <f>E16</f>
        <v>14150</v>
      </c>
      <c r="E5" s="11" t="s">
        <v>5</v>
      </c>
      <c r="F5" s="13">
        <f>--(OR(C10="Yes",C10="Not sure"))+--(OR(C11="Yes",C11="Not sure"))+--(OR(C12="Fail",C12="Not sure"))+--(OR(C13="No",C13="Not sure"))+--(OR(C14="Yes",C14="Not sure"))</f>
        <v>0</v>
      </c>
    </row>
    <row r="6" spans="1:6" ht="14.25" customHeight="1">
      <c r="A6" s="18" t="s">
        <v>6</v>
      </c>
      <c r="B6" s="16"/>
      <c r="C6" s="16"/>
      <c r="D6" s="16"/>
      <c r="E6" s="16"/>
      <c r="F6" s="16"/>
    </row>
    <row r="7" spans="1:6" ht="24" customHeight="1">
      <c r="A7" s="31" t="s">
        <v>72</v>
      </c>
      <c r="B7" s="30"/>
      <c r="C7" s="30"/>
      <c r="D7" s="30"/>
      <c r="E7" s="30"/>
      <c r="F7" s="30"/>
    </row>
    <row r="8" spans="1:6" ht="32.1" customHeight="1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</row>
    <row r="9" spans="1:6" ht="54" customHeight="1">
      <c r="A9" s="9" t="s">
        <v>13</v>
      </c>
      <c r="B9" s="2" t="s">
        <v>14</v>
      </c>
      <c r="C9" s="10" t="s">
        <v>15</v>
      </c>
      <c r="D9" s="24">
        <f>'Cost Reference'!$B$7</f>
        <v>14150</v>
      </c>
      <c r="E9" s="24">
        <f>'Cost Reference'!$C$7</f>
        <v>14150</v>
      </c>
      <c r="F9" s="32" t="s">
        <v>16</v>
      </c>
    </row>
    <row r="10" spans="1:6" ht="54" customHeight="1">
      <c r="A10" s="9" t="s">
        <v>17</v>
      </c>
      <c r="B10" s="2" t="s">
        <v>18</v>
      </c>
      <c r="C10" s="8" t="s">
        <v>19</v>
      </c>
      <c r="D10" s="24">
        <f>IF(OR(C10="Yes",C10="Not sure"),'Cost Reference'!$B$8,0)</f>
        <v>0</v>
      </c>
      <c r="E10" s="24">
        <f>IF(OR(C10="Yes",C10="Not sure"),'Cost Reference'!$C$8,0)</f>
        <v>0</v>
      </c>
      <c r="F10" s="32" t="s">
        <v>20</v>
      </c>
    </row>
    <row r="11" spans="1:6" ht="54" customHeight="1">
      <c r="A11" s="9" t="s">
        <v>21</v>
      </c>
      <c r="B11" s="2" t="s">
        <v>22</v>
      </c>
      <c r="C11" s="8" t="s">
        <v>19</v>
      </c>
      <c r="D11" s="24">
        <f>IF(OR(C11="Yes",C11="Not sure"),'Cost Reference'!$B$9,0)</f>
        <v>0</v>
      </c>
      <c r="E11" s="24">
        <f>IF(OR(C11="Yes",C11="Not sure"),'Cost Reference'!$C$9,0)</f>
        <v>0</v>
      </c>
      <c r="F11" s="32" t="s">
        <v>23</v>
      </c>
    </row>
    <row r="12" spans="1:6" ht="54" customHeight="1">
      <c r="A12" s="9" t="s">
        <v>24</v>
      </c>
      <c r="B12" s="2" t="s">
        <v>25</v>
      </c>
      <c r="C12" s="8" t="s">
        <v>26</v>
      </c>
      <c r="D12" s="24">
        <f>IF(OR(C12="Fail",C12="Not sure"),'Cost Reference'!$B$10,0)</f>
        <v>0</v>
      </c>
      <c r="E12" s="24">
        <f>IF(OR(C12="Fail",C12="Not sure"),'Cost Reference'!$C$10,0)</f>
        <v>0</v>
      </c>
      <c r="F12" s="32" t="s">
        <v>27</v>
      </c>
    </row>
    <row r="13" spans="1:6" ht="54" customHeight="1">
      <c r="A13" s="9" t="s">
        <v>28</v>
      </c>
      <c r="B13" s="2" t="s">
        <v>29</v>
      </c>
      <c r="C13" s="8" t="s">
        <v>30</v>
      </c>
      <c r="D13" s="24">
        <f>IF(OR(C13="No",C13="Not sure"),'Cost Reference'!$B$11,0)</f>
        <v>0</v>
      </c>
      <c r="E13" s="24">
        <f>IF(OR(C13="No",C13="Not sure"),'Cost Reference'!$C$11,0)</f>
        <v>0</v>
      </c>
      <c r="F13" s="32" t="s">
        <v>31</v>
      </c>
    </row>
    <row r="14" spans="1:6" ht="54" customHeight="1">
      <c r="A14" s="9" t="s">
        <v>32</v>
      </c>
      <c r="B14" s="2" t="s">
        <v>33</v>
      </c>
      <c r="C14" s="8" t="s">
        <v>19</v>
      </c>
      <c r="D14" s="24">
        <f>IF(OR(C14="Yes",C14="Not sure"),'Cost Reference'!$B$12,0)</f>
        <v>0</v>
      </c>
      <c r="E14" s="24">
        <f>IF(OR(C14="Yes",C14="Not sure"),'Cost Reference'!$C$12,0)</f>
        <v>0</v>
      </c>
      <c r="F14" s="32" t="s">
        <v>34</v>
      </c>
    </row>
    <row r="15" spans="1:6" ht="54" customHeight="1">
      <c r="A15" s="9" t="s">
        <v>35</v>
      </c>
      <c r="B15" s="2" t="s">
        <v>36</v>
      </c>
      <c r="C15" s="14" t="str">
        <f>IF($F$5&gt;2,"Likely","Not likely")</f>
        <v>Not likely</v>
      </c>
      <c r="D15" s="24">
        <f>IF(C15="Likely",'Cost Reference'!$B$13,0)</f>
        <v>0</v>
      </c>
      <c r="E15" s="24">
        <f>IF(C15="Likely",'Cost Reference'!$C$13,0)</f>
        <v>0</v>
      </c>
      <c r="F15" s="32" t="s">
        <v>37</v>
      </c>
    </row>
    <row r="16" spans="1:6" ht="33.950000000000003" customHeight="1">
      <c r="A16" s="26" t="s">
        <v>38</v>
      </c>
      <c r="B16" s="26"/>
      <c r="C16" s="26"/>
      <c r="D16" s="27">
        <f>SUM(D9:D15)</f>
        <v>14150</v>
      </c>
      <c r="E16" s="27">
        <f>SUM(E9:E15)</f>
        <v>14150</v>
      </c>
      <c r="F16" s="28"/>
    </row>
    <row r="17" spans="1:6" ht="4.5" customHeight="1">
      <c r="A17" s="4"/>
      <c r="B17" s="4"/>
      <c r="C17" s="4"/>
      <c r="D17" s="4"/>
      <c r="E17" s="4"/>
      <c r="F17" s="4"/>
    </row>
    <row r="18" spans="1:6" ht="24" customHeight="1">
      <c r="A18" s="31" t="s">
        <v>73</v>
      </c>
      <c r="B18" s="30"/>
      <c r="C18" s="30"/>
      <c r="D18" s="30"/>
      <c r="E18" s="30"/>
      <c r="F18" s="30"/>
    </row>
    <row r="19" spans="1:6" ht="36" customHeight="1">
      <c r="A19" s="14" t="s">
        <v>39</v>
      </c>
      <c r="B19" s="25" t="s">
        <v>40</v>
      </c>
      <c r="C19" s="25"/>
      <c r="D19" s="25"/>
      <c r="E19" s="25"/>
      <c r="F19" s="25"/>
    </row>
    <row r="20" spans="1:6" ht="36" customHeight="1">
      <c r="A20" s="14" t="s">
        <v>41</v>
      </c>
      <c r="B20" s="25" t="s">
        <v>42</v>
      </c>
      <c r="C20" s="25"/>
      <c r="D20" s="25"/>
      <c r="E20" s="25"/>
      <c r="F20" s="25"/>
    </row>
    <row r="21" spans="1:6" ht="36" customHeight="1">
      <c r="A21" s="14" t="s">
        <v>43</v>
      </c>
      <c r="B21" s="25" t="s">
        <v>44</v>
      </c>
      <c r="C21" s="25"/>
      <c r="D21" s="25"/>
      <c r="E21" s="25"/>
      <c r="F21" s="25"/>
    </row>
    <row r="22" spans="1:6" ht="36" customHeight="1">
      <c r="A22" s="14" t="s">
        <v>45</v>
      </c>
      <c r="B22" s="25" t="s">
        <v>46</v>
      </c>
      <c r="C22" s="25"/>
      <c r="D22" s="25"/>
      <c r="E22" s="25"/>
      <c r="F22" s="25"/>
    </row>
    <row r="23" spans="1:6" ht="36" customHeight="1">
      <c r="A23" s="14">
        <v>5</v>
      </c>
      <c r="B23" s="25" t="s">
        <v>74</v>
      </c>
      <c r="C23" s="25"/>
      <c r="D23" s="25"/>
      <c r="E23" s="25"/>
      <c r="F23" s="25"/>
    </row>
    <row r="24" spans="1:6" ht="15">
      <c r="A24" s="4"/>
      <c r="B24" s="4"/>
      <c r="C24" s="4"/>
      <c r="D24" s="4"/>
      <c r="E24" s="4"/>
      <c r="F24" s="4"/>
    </row>
    <row r="25" spans="1:6" ht="15">
      <c r="A25" s="4"/>
      <c r="B25" s="4"/>
      <c r="C25" s="4"/>
      <c r="D25" s="4"/>
      <c r="E25" s="4"/>
      <c r="F25" s="4"/>
    </row>
    <row r="26" spans="1:6" ht="15">
      <c r="A26" s="4"/>
      <c r="B26" s="4"/>
      <c r="C26" s="4"/>
      <c r="D26" s="4"/>
      <c r="E26" s="4"/>
      <c r="F26" s="4"/>
    </row>
    <row r="27" spans="1:6" ht="15">
      <c r="A27" s="4"/>
      <c r="B27" s="4"/>
      <c r="C27" s="4"/>
      <c r="D27" s="4"/>
      <c r="E27" s="4"/>
      <c r="F27" s="4"/>
    </row>
  </sheetData>
  <mergeCells count="12">
    <mergeCell ref="B20:F20"/>
    <mergeCell ref="B21:F21"/>
    <mergeCell ref="B22:F22"/>
    <mergeCell ref="B23:F23"/>
    <mergeCell ref="A7:F7"/>
    <mergeCell ref="A16:C16"/>
    <mergeCell ref="A18:F18"/>
    <mergeCell ref="B19:F19"/>
    <mergeCell ref="A1:F1"/>
    <mergeCell ref="A2:F2"/>
    <mergeCell ref="A4:F4"/>
    <mergeCell ref="A6:F6"/>
  </mergeCells>
  <dataValidations count="3">
    <dataValidation type="list" sqref="C10:C11 C14" xr:uid="{00000000-0002-0000-0000-000000000000}">
      <formula1>"No,Yes,Not sure"</formula1>
    </dataValidation>
    <dataValidation type="list" sqref="C12" xr:uid="{00000000-0002-0000-0000-000001000000}">
      <formula1>"Pass,Fail,Not sure"</formula1>
    </dataValidation>
    <dataValidation type="list" sqref="C13" xr:uid="{00000000-0002-0000-0000-000002000000}">
      <formula1>"Yes,No,Not sure"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selection sqref="A1:D1"/>
    </sheetView>
  </sheetViews>
  <sheetFormatPr defaultRowHeight="14.25"/>
  <cols>
    <col min="1" max="1" width="28" customWidth="1"/>
    <col min="2" max="3" width="16" customWidth="1"/>
    <col min="4" max="4" width="76" customWidth="1"/>
  </cols>
  <sheetData>
    <row r="1" spans="1:4" ht="27.95" customHeight="1">
      <c r="A1" s="15" t="s">
        <v>47</v>
      </c>
      <c r="B1" s="16"/>
      <c r="C1" s="16"/>
      <c r="D1" s="16"/>
    </row>
    <row r="2" spans="1:4" ht="33.950000000000003" customHeight="1">
      <c r="A2" s="17" t="s">
        <v>48</v>
      </c>
      <c r="B2" s="16"/>
      <c r="C2" s="16"/>
      <c r="D2" s="16"/>
    </row>
    <row r="3" spans="1:4" ht="15">
      <c r="A3" s="4"/>
      <c r="B3" s="4"/>
      <c r="C3" s="4"/>
      <c r="D3" s="4"/>
    </row>
    <row r="4" spans="1:4" ht="15">
      <c r="A4" s="5" t="s">
        <v>49</v>
      </c>
      <c r="B4" s="5" t="s">
        <v>50</v>
      </c>
      <c r="C4" s="4"/>
      <c r="D4" s="4"/>
    </row>
    <row r="5" spans="1:4" ht="15">
      <c r="A5" s="4"/>
      <c r="B5" s="4"/>
      <c r="C5" s="4"/>
      <c r="D5" s="4"/>
    </row>
    <row r="6" spans="1:4" ht="32.1" customHeight="1">
      <c r="A6" s="6" t="s">
        <v>7</v>
      </c>
      <c r="B6" s="6" t="s">
        <v>10</v>
      </c>
      <c r="C6" s="6" t="s">
        <v>11</v>
      </c>
      <c r="D6" s="6" t="s">
        <v>12</v>
      </c>
    </row>
    <row r="7" spans="1:4" ht="54" customHeight="1">
      <c r="A7" s="2" t="s">
        <v>13</v>
      </c>
      <c r="B7" s="3">
        <v>14150</v>
      </c>
      <c r="C7" s="3">
        <v>14150</v>
      </c>
      <c r="D7" s="2" t="s">
        <v>51</v>
      </c>
    </row>
    <row r="8" spans="1:4" ht="54" customHeight="1">
      <c r="A8" s="2" t="s">
        <v>17</v>
      </c>
      <c r="B8" s="3">
        <v>1300</v>
      </c>
      <c r="C8" s="3">
        <v>5000</v>
      </c>
      <c r="D8" s="2" t="s">
        <v>52</v>
      </c>
    </row>
    <row r="9" spans="1:4" ht="54" customHeight="1">
      <c r="A9" s="2" t="s">
        <v>53</v>
      </c>
      <c r="B9" s="3">
        <v>1200</v>
      </c>
      <c r="C9" s="3">
        <v>3500</v>
      </c>
      <c r="D9" s="2" t="s">
        <v>54</v>
      </c>
    </row>
    <row r="10" spans="1:4" ht="54" customHeight="1">
      <c r="A10" s="2" t="s">
        <v>24</v>
      </c>
      <c r="B10" s="3">
        <v>3055</v>
      </c>
      <c r="C10" s="3">
        <v>3055</v>
      </c>
      <c r="D10" s="2" t="s">
        <v>55</v>
      </c>
    </row>
    <row r="11" spans="1:4" ht="54" customHeight="1">
      <c r="A11" s="2" t="s">
        <v>28</v>
      </c>
      <c r="B11" s="3">
        <v>2097</v>
      </c>
      <c r="C11" s="3">
        <v>2097</v>
      </c>
      <c r="D11" s="2" t="s">
        <v>56</v>
      </c>
    </row>
    <row r="12" spans="1:4" ht="54" customHeight="1">
      <c r="A12" s="2" t="s">
        <v>32</v>
      </c>
      <c r="B12" s="3">
        <v>1000</v>
      </c>
      <c r="C12" s="3">
        <v>2000</v>
      </c>
      <c r="D12" s="2" t="s">
        <v>57</v>
      </c>
    </row>
    <row r="13" spans="1:4" ht="54" customHeight="1">
      <c r="A13" s="2" t="s">
        <v>35</v>
      </c>
      <c r="B13" s="3">
        <v>800</v>
      </c>
      <c r="C13" s="3">
        <v>800</v>
      </c>
      <c r="D13" s="2" t="s">
        <v>58</v>
      </c>
    </row>
    <row r="14" spans="1:4" ht="15">
      <c r="A14" s="4"/>
      <c r="B14" s="4"/>
      <c r="C14" s="4"/>
      <c r="D14" s="4"/>
    </row>
    <row r="15" spans="1:4" ht="15">
      <c r="A15" s="19" t="s">
        <v>59</v>
      </c>
      <c r="B15" s="16"/>
      <c r="C15" s="16"/>
      <c r="D15" s="16"/>
    </row>
    <row r="16" spans="1:4" ht="32.1" customHeight="1">
      <c r="A16" s="6" t="s">
        <v>60</v>
      </c>
      <c r="B16" s="6" t="s">
        <v>61</v>
      </c>
      <c r="C16" s="6" t="s">
        <v>62</v>
      </c>
      <c r="D16" s="6" t="s">
        <v>63</v>
      </c>
    </row>
    <row r="17" spans="1:4" ht="48" customHeight="1">
      <c r="A17" s="2" t="s">
        <v>64</v>
      </c>
      <c r="B17" s="3">
        <v>14150</v>
      </c>
      <c r="C17" s="3">
        <v>14150</v>
      </c>
      <c r="D17" s="2" t="s">
        <v>65</v>
      </c>
    </row>
    <row r="18" spans="1:4" ht="48" customHeight="1">
      <c r="A18" s="2" t="s">
        <v>66</v>
      </c>
      <c r="B18" s="3">
        <v>16000</v>
      </c>
      <c r="C18" s="3">
        <v>20000</v>
      </c>
      <c r="D18" s="2" t="s">
        <v>67</v>
      </c>
    </row>
    <row r="19" spans="1:4" ht="48" customHeight="1">
      <c r="A19" s="2" t="s">
        <v>68</v>
      </c>
      <c r="B19" s="3">
        <v>20000</v>
      </c>
      <c r="C19" s="3">
        <v>28000</v>
      </c>
      <c r="D19" s="2" t="s">
        <v>69</v>
      </c>
    </row>
    <row r="20" spans="1:4" ht="15">
      <c r="A20" s="4"/>
      <c r="B20" s="4"/>
      <c r="C20" s="4"/>
      <c r="D20" s="4"/>
    </row>
    <row r="21" spans="1:4" ht="42" customHeight="1">
      <c r="A21" s="7" t="s">
        <v>70</v>
      </c>
      <c r="B21" s="20" t="s">
        <v>71</v>
      </c>
      <c r="C21" s="20"/>
      <c r="D21" s="20"/>
    </row>
    <row r="22" spans="1:4" ht="15">
      <c r="A22" s="4"/>
      <c r="B22" s="4"/>
      <c r="C22" s="4"/>
      <c r="D22" s="4"/>
    </row>
    <row r="23" spans="1:4" ht="15">
      <c r="A23" s="4"/>
      <c r="B23" s="4"/>
      <c r="C23" s="4"/>
      <c r="D23" s="4"/>
    </row>
    <row r="24" spans="1:4" ht="15">
      <c r="A24" s="4"/>
      <c r="B24" s="4"/>
      <c r="C24" s="4"/>
      <c r="D24" s="4"/>
    </row>
    <row r="25" spans="1:4" ht="15">
      <c r="A25" s="4"/>
      <c r="B25" s="4"/>
      <c r="C25" s="4"/>
      <c r="D25" s="4"/>
    </row>
  </sheetData>
  <mergeCells count="4">
    <mergeCell ref="A1:D1"/>
    <mergeCell ref="A2:D2"/>
    <mergeCell ref="A15:D15"/>
    <mergeCell ref="B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Estimator</vt:lpstr>
      <vt:lpstr>Cost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Shelby Kriesel</dc:creator>
  <cp:lastModifiedBy>Shelby Kriesel</cp:lastModifiedBy>
  <dcterms:created xsi:type="dcterms:W3CDTF">2026-06-16T18:33:48Z</dcterms:created>
  <dcterms:modified xsi:type="dcterms:W3CDTF">2026-06-16T18:33:48Z</dcterms:modified>
</cp:coreProperties>
</file>