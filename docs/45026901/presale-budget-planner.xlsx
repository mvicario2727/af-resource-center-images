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0"/>
  <workbookPr/>
  <mc:AlternateContent xmlns:mc="http://schemas.openxmlformats.org/markup-compatibility/2006">
    <mc:Choice Requires="x15">
      <x15ac:absPath xmlns:x15ac="http://schemas.microsoft.com/office/spreadsheetml/2010/11/ac" url="/Users/deb.pias/Desktop/"/>
    </mc:Choice>
  </mc:AlternateContent>
  <xr:revisionPtr revIDLastSave="0" documentId="13_ncr:1_{E1E76EBF-82E7-2042-B277-56CC4B932603}" xr6:coauthVersionLast="47" xr6:coauthVersionMax="47" xr10:uidLastSave="{00000000-0000-0000-0000-000000000000}"/>
  <bookViews>
    <workbookView xWindow="0" yWindow="500" windowWidth="35840" windowHeight="20760" xr2:uid="{00000000-000D-0000-FFFF-FFFF00000000}"/>
  </bookViews>
  <sheets>
    <sheet name="Detailed Tactics and Costs" sheetId="1" r:id="rId1"/>
  </sheets>
  <definedNames>
    <definedName name="_xlnm._FilterDatabase" localSheetId="0" hidden="1">'Detailed Tactics and Costs'!$A$3:$K$5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 l="1"/>
  <c r="H36" i="1"/>
  <c r="H27" i="1"/>
  <c r="H24" i="1"/>
  <c r="H20" i="1"/>
  <c r="H16" i="1"/>
  <c r="H14" i="1"/>
  <c r="H35" i="1"/>
  <c r="H34" i="1"/>
  <c r="H33" i="1"/>
  <c r="H32" i="1"/>
  <c r="H30" i="1"/>
  <c r="H29" i="1"/>
  <c r="H21" i="1"/>
  <c r="H22" i="1"/>
  <c r="H23" i="1"/>
  <c r="H25" i="1"/>
  <c r="H26" i="1"/>
  <c r="H19" i="1"/>
  <c r="H5" i="1"/>
  <c r="H7" i="1"/>
  <c r="H15" i="1"/>
  <c r="H17" i="1"/>
  <c r="H13" i="1"/>
  <c r="H12" i="1"/>
  <c r="H10" i="1"/>
  <c r="H11" i="1"/>
  <c r="F7" i="1"/>
  <c r="F38" i="1" s="1"/>
  <c r="H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tc={428B546E-76A6-4420-B48A-3E930412B3DA}</author>
    <author>tc={B22232C8-8B8C-4314-BF4D-3647979D59E8}</author>
  </authors>
  <commentList>
    <comment ref="B8" authorId="0" shapeId="0" xr:uid="{428B546E-76A6-4420-B48A-3E930412B3DA}">
      <text>
        <t>[Threaded comment]
Your version of Excel allows you to read this threaded comment; however, any edits to it will get removed if the file is opened in a newer version of Excel. Learn more: https://go.microsoft.com/fwlink/?linkid=870924
Comment:
    Add: Referral sheets, Evolt one pager, App one pager</t>
      </text>
    </comment>
    <comment ref="B18" authorId="1" shapeId="0" xr:uid="{B22232C8-8B8C-4314-BF4D-3647979D59E8}">
      <text>
        <t xml:space="preserve">[Threaded comment]
Your version of Excel allows you to read this threaded comment; however, any edits to it will get removed if the file is opened in a newer version of Excel. Learn more: https://go.microsoft.com/fwlink/?linkid=870924
Comment:
    Add Feather Flag </t>
      </text>
    </comment>
  </commentList>
</comments>
</file>

<file path=xl/sharedStrings.xml><?xml version="1.0" encoding="utf-8"?>
<sst xmlns="http://schemas.openxmlformats.org/spreadsheetml/2006/main" count="165" uniqueCount="108">
  <si>
    <t>AF RAMP UP - Marketing Budget</t>
  </si>
  <si>
    <t xml:space="preserve">Open Date </t>
  </si>
  <si>
    <t>ITEM</t>
  </si>
  <si>
    <t>QUANTITY</t>
  </si>
  <si>
    <t>FDD Requirement / Optional</t>
  </si>
  <si>
    <t>MESSAGE</t>
  </si>
  <si>
    <t>COST ESTIMATES</t>
  </si>
  <si>
    <t>VENDOR</t>
  </si>
  <si>
    <t>ORDER BY DATE</t>
  </si>
  <si>
    <t>SKU</t>
  </si>
  <si>
    <t>NOTES</t>
  </si>
  <si>
    <t>STATUS</t>
  </si>
  <si>
    <t>DIGITAL PAID MEDIA</t>
  </si>
  <si>
    <t xml:space="preserve">RAMP Paid Media </t>
  </si>
  <si>
    <t>16 Week Program</t>
  </si>
  <si>
    <t>FDD Required</t>
  </si>
  <si>
    <t>RAMP Program</t>
  </si>
  <si>
    <t>Asher Agency or Qiigo</t>
  </si>
  <si>
    <t>NA</t>
  </si>
  <si>
    <r>
      <t xml:space="preserve">TRADITIONAL PAID MEDIA </t>
    </r>
    <r>
      <rPr>
        <i/>
        <sz val="11"/>
        <color theme="0"/>
        <rFont val="Calibri"/>
        <family val="2"/>
        <scheme val="minor"/>
      </rPr>
      <t>(DIRECT MAIL)</t>
    </r>
  </si>
  <si>
    <t>Direct Mail</t>
  </si>
  <si>
    <t>10,000 w/ Analytics</t>
  </si>
  <si>
    <t>Optional</t>
  </si>
  <si>
    <t>Asher Agency</t>
  </si>
  <si>
    <t>PRINT ASSETS</t>
  </si>
  <si>
    <t xml:space="preserve">Business Cards </t>
  </si>
  <si>
    <t>Owner Business Card</t>
  </si>
  <si>
    <t>Brand Marketing Center</t>
  </si>
  <si>
    <t>TM23010002656046</t>
  </si>
  <si>
    <t>Guest Pass</t>
  </si>
  <si>
    <t>Guest FREE 1day /7day passes</t>
  </si>
  <si>
    <t>Folders</t>
  </si>
  <si>
    <t>Folder for new membership paperwork</t>
  </si>
  <si>
    <t>Vendor Portal</t>
  </si>
  <si>
    <t>https://anytimefitness.sebvendorportal.com/products?search=folder</t>
  </si>
  <si>
    <t>Member Guidelines</t>
  </si>
  <si>
    <t xml:space="preserve">Membership Guidelines </t>
  </si>
  <si>
    <t>TM22110001834864</t>
  </si>
  <si>
    <t>Post Cards - Coming Soon</t>
  </si>
  <si>
    <t>TM23030010928991</t>
  </si>
  <si>
    <t>Post Cards - Now Open</t>
  </si>
  <si>
    <t>Direct Mail - Grand Opening</t>
  </si>
  <si>
    <t>TM23030010918921</t>
  </si>
  <si>
    <t>Door Hangers - Coming Soon</t>
  </si>
  <si>
    <t>TM22110006307686</t>
  </si>
  <si>
    <t>Door Hangers - Now Open</t>
  </si>
  <si>
    <t>Door Hanger - Grand Opening</t>
  </si>
  <si>
    <t>TM22110011270828</t>
  </si>
  <si>
    <t>Price Presentation Sheets</t>
  </si>
  <si>
    <t>Price Presentation</t>
  </si>
  <si>
    <t>"price presentations"</t>
  </si>
  <si>
    <t>OUTDOOR SIGNAGE</t>
  </si>
  <si>
    <t>Outdoor Hanging Coming Soon Banner</t>
  </si>
  <si>
    <t>Coming Soon</t>
  </si>
  <si>
    <t>TM22110005885713</t>
  </si>
  <si>
    <t>Outdoor Hanging Now Open Banner</t>
  </si>
  <si>
    <t>Grand Opening</t>
  </si>
  <si>
    <t>TM22110012300222</t>
  </si>
  <si>
    <t>Retractable Pop-up Banner</t>
  </si>
  <si>
    <t>Customizable Pull-up banner</t>
  </si>
  <si>
    <t>TM22070012115608</t>
  </si>
  <si>
    <t>Grand Opening Kit</t>
  </si>
  <si>
    <t>10x10 Steel Frame, Digital Printed Top, Roller Bag, (1) Digital Printed Canopy Wall, 6' Table Cover, Grande Flag with 17’ Pole and Steel Baseplate</t>
  </si>
  <si>
    <t>https://anytimefitness.sebvendorportal.com/products/GRANDOPENINGAF</t>
  </si>
  <si>
    <t>Yard Signs - Coming Soon</t>
  </si>
  <si>
    <t>Pre Sale</t>
  </si>
  <si>
    <t>TM22110006995929</t>
  </si>
  <si>
    <t>Yard Signs - Now Open</t>
  </si>
  <si>
    <t>TM22110012047325</t>
  </si>
  <si>
    <t>Sidewalk Sign Holder</t>
  </si>
  <si>
    <t>SE_24x36_AFrame_SD-140W</t>
  </si>
  <si>
    <t>Sidewalk Sign - Coming Soon</t>
  </si>
  <si>
    <t>TM22110006791564</t>
  </si>
  <si>
    <t>Sidewalk Sign - Now Open</t>
  </si>
  <si>
    <t>TM22110011311965</t>
  </si>
  <si>
    <t xml:space="preserve">COMMUNITY INVOLVEMENT </t>
  </si>
  <si>
    <t>Branded Flags</t>
  </si>
  <si>
    <t>TBD</t>
  </si>
  <si>
    <t xml:space="preserve">Branded Outdoor Flags </t>
  </si>
  <si>
    <t>https://anytimefitness.sebvendorportal.com/products?categoryID=4V7fnfGzt0GzhdI_Kpq-EA&amp;f.print_collateral=flags</t>
  </si>
  <si>
    <t>Flyers - Coming Soon</t>
  </si>
  <si>
    <t>TM22110006923897</t>
  </si>
  <si>
    <t>Flyers - Now Open</t>
  </si>
  <si>
    <t>Flyers - Grand Opening</t>
  </si>
  <si>
    <t>TM22110010854091</t>
  </si>
  <si>
    <t xml:space="preserve">Event Swag </t>
  </si>
  <si>
    <t>branded water bottles, pens, lanyards, tshirts, hats, bottle opener etc</t>
  </si>
  <si>
    <t>Varies</t>
  </si>
  <si>
    <t>https://anytimefitness.sebvendorportal.com/products?categoryID=WD1ERBgC2EyH9bzkunQYhw</t>
  </si>
  <si>
    <t>Raffle Drawing Prizes</t>
  </si>
  <si>
    <t>iPad mini, Amazon Gift Cards, Yeti mugs, Free Membership for X amount of time, etc.</t>
  </si>
  <si>
    <t>Local</t>
  </si>
  <si>
    <t>Box for Raffle Enteries</t>
  </si>
  <si>
    <t>Container for Raffle Prize Drawing</t>
  </si>
  <si>
    <t>Amazon</t>
  </si>
  <si>
    <t>Vehicle Wrap/Magnet/Bumper Stickers</t>
  </si>
  <si>
    <t>Branded Logo</t>
  </si>
  <si>
    <t>Print &amp; Wrap  Locally</t>
  </si>
  <si>
    <t>Ribbon Cutting</t>
  </si>
  <si>
    <t>Chamber of Commerce / Grand Opening Event</t>
  </si>
  <si>
    <t>Total Marketing Budget Planned</t>
  </si>
  <si>
    <r>
      <rPr>
        <b/>
        <sz val="11"/>
        <rFont val="Calibri"/>
        <family val="2"/>
        <scheme val="minor"/>
      </rPr>
      <t>*Note:</t>
    </r>
    <r>
      <rPr>
        <sz val="11"/>
        <rFont val="Calibri"/>
        <family val="2"/>
        <scheme val="minor"/>
      </rPr>
      <t xml:space="preserve"> AF best practice, we recommend is to set up reminders of important events to your email. See below for links to directions on how to set up reminders in Outlook and Gmail</t>
    </r>
  </si>
  <si>
    <t>Directions - How to set up email reminders in Outlook</t>
  </si>
  <si>
    <t>Directions - How to set up email reminders in Gmail</t>
  </si>
  <si>
    <t>Direct Mail - Presale</t>
  </si>
  <si>
    <t xml:space="preserve">Door Hanger - Presale </t>
  </si>
  <si>
    <t>Presale</t>
  </si>
  <si>
    <t>Flyers - Presale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</si>
</sst>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20" x14ac:knownFonts="1">
    <font>
      <sz val="11"/>
      <color theme="1"/>
      <name val="Calibri"/>
      <family val="2"/>
      <scheme val="minor"/>
    </font>
    <font>
      <sz val="11"/>
      <color rgb="FFFF0000"/>
      <name val="Calibri"/>
      <family val="2"/>
      <scheme val="minor"/>
    </font>
    <font>
      <b/>
      <sz val="16"/>
      <color theme="0"/>
      <name val="Calibri"/>
      <family val="2"/>
      <scheme val="minor"/>
    </font>
    <font>
      <b/>
      <sz val="14"/>
      <color theme="0"/>
      <name val="Calibri"/>
      <family val="2"/>
      <scheme val="minor"/>
    </font>
    <font>
      <sz val="11"/>
      <name val="Calibri"/>
      <family val="2"/>
      <scheme val="minor"/>
    </font>
    <font>
      <b/>
      <sz val="12"/>
      <name val="Calibri"/>
      <family val="2"/>
      <scheme val="minor"/>
    </font>
    <font>
      <b/>
      <sz val="11"/>
      <color rgb="FFFF0000"/>
      <name val="Calibri"/>
      <family val="2"/>
      <scheme val="minor"/>
    </font>
    <font>
      <b/>
      <sz val="11"/>
      <color theme="0"/>
      <name val="Calibri"/>
      <family val="2"/>
      <scheme val="minor"/>
    </font>
    <font>
      <b/>
      <sz val="14"/>
      <color theme="1"/>
      <name val="Calibri"/>
      <family val="2"/>
      <scheme val="minor"/>
    </font>
    <font>
      <sz val="11"/>
      <name val="Arial"/>
      <family val="2"/>
    </font>
    <font>
      <sz val="11"/>
      <color rgb="FF000000"/>
      <name val="Calibri"/>
      <family val="2"/>
    </font>
    <font>
      <u/>
      <sz val="11"/>
      <color theme="10"/>
      <name val="Calibri"/>
      <family val="2"/>
      <scheme val="minor"/>
    </font>
    <font>
      <sz val="8"/>
      <name val="Calibri"/>
      <family val="2"/>
      <scheme val="minor"/>
    </font>
    <font>
      <sz val="11"/>
      <color rgb="FF212529"/>
      <name val="Calibri"/>
      <family val="2"/>
      <scheme val="minor"/>
    </font>
    <font>
      <b/>
      <sz val="14"/>
      <color theme="0"/>
      <name val="Calibri (Body)"/>
    </font>
    <font>
      <sz val="14"/>
      <color theme="0"/>
      <name val="Calibri"/>
      <family val="2"/>
      <scheme val="minor"/>
    </font>
    <font>
      <sz val="14"/>
      <color theme="1"/>
      <name val="Calibri"/>
      <family val="2"/>
      <scheme val="minor"/>
    </font>
    <font>
      <i/>
      <sz val="11"/>
      <color theme="0"/>
      <name val="Calibri"/>
      <family val="2"/>
      <scheme val="minor"/>
    </font>
    <font>
      <sz val="14"/>
      <color theme="1"/>
      <name val="Helvetica Neue"/>
      <family val="2"/>
    </font>
    <font>
      <b/>
      <sz val="11"/>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rgb="FF636466"/>
        <bgColor indexed="64"/>
      </patternFill>
    </fill>
    <fill>
      <patternFill patternType="solid">
        <fgColor rgb="FF7030A0"/>
        <bgColor indexed="64"/>
      </patternFill>
    </fill>
    <fill>
      <patternFill patternType="solid">
        <fgColor rgb="FFD297E9"/>
        <bgColor indexed="64"/>
      </patternFill>
    </fill>
    <fill>
      <patternFill patternType="solid">
        <fgColor rgb="FFFFFF0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64">
    <xf numFmtId="0" fontId="0" fillId="0" borderId="0" xfId="0"/>
    <xf numFmtId="0" fontId="5" fillId="0" borderId="2" xfId="0" applyFont="1" applyBorder="1" applyAlignment="1">
      <alignment horizontal="left"/>
    </xf>
    <xf numFmtId="164" fontId="6" fillId="0" borderId="1" xfId="0" applyNumberFormat="1" applyFont="1" applyBorder="1" applyAlignment="1">
      <alignment horizontal="center"/>
    </xf>
    <xf numFmtId="1" fontId="1" fillId="0" borderId="0" xfId="0" applyNumberFormat="1" applyFont="1"/>
    <xf numFmtId="1" fontId="6" fillId="0" borderId="0" xfId="0" applyNumberFormat="1" applyFont="1" applyAlignment="1">
      <alignment horizontal="left"/>
    </xf>
    <xf numFmtId="164" fontId="6" fillId="0" borderId="0" xfId="0" applyNumberFormat="1" applyFont="1" applyAlignment="1">
      <alignment horizontal="center"/>
    </xf>
    <xf numFmtId="0" fontId="4" fillId="0" borderId="0" xfId="0" applyFont="1"/>
    <xf numFmtId="0" fontId="0" fillId="3" borderId="0" xfId="0" applyFill="1"/>
    <xf numFmtId="0" fontId="0" fillId="3" borderId="0" xfId="0" applyFill="1" applyAlignment="1">
      <alignment horizontal="center"/>
    </xf>
    <xf numFmtId="0" fontId="4" fillId="3" borderId="0" xfId="0" applyFont="1" applyFill="1"/>
    <xf numFmtId="164" fontId="0" fillId="3" borderId="0" xfId="0" applyNumberFormat="1" applyFill="1" applyAlignment="1">
      <alignment horizontal="right"/>
    </xf>
    <xf numFmtId="1" fontId="0" fillId="3" borderId="0" xfId="0" applyNumberFormat="1" applyFill="1" applyAlignment="1">
      <alignment horizontal="center"/>
    </xf>
    <xf numFmtId="16" fontId="0" fillId="3" borderId="0" xfId="0" applyNumberFormat="1" applyFill="1" applyAlignment="1">
      <alignment horizontal="center"/>
    </xf>
    <xf numFmtId="0" fontId="0" fillId="4" borderId="0" xfId="0" applyFill="1"/>
    <xf numFmtId="0" fontId="0" fillId="5" borderId="0" xfId="0" applyFill="1"/>
    <xf numFmtId="0" fontId="0" fillId="6" borderId="0" xfId="0" applyFill="1"/>
    <xf numFmtId="0" fontId="4" fillId="0" borderId="3" xfId="0" applyFont="1" applyBorder="1"/>
    <xf numFmtId="0" fontId="0" fillId="3" borderId="3" xfId="0" applyFill="1" applyBorder="1"/>
    <xf numFmtId="0" fontId="3" fillId="3" borderId="3" xfId="0" applyFont="1" applyFill="1" applyBorder="1"/>
    <xf numFmtId="0" fontId="2" fillId="2" borderId="3" xfId="0" applyFont="1" applyFill="1" applyBorder="1" applyAlignment="1">
      <alignment horizontal="center"/>
    </xf>
    <xf numFmtId="14" fontId="8" fillId="7" borderId="3" xfId="0" applyNumberFormat="1" applyFont="1" applyFill="1" applyBorder="1"/>
    <xf numFmtId="0" fontId="3" fillId="3" borderId="3" xfId="0" applyFont="1" applyFill="1" applyBorder="1" applyAlignment="1">
      <alignment horizontal="left"/>
    </xf>
    <xf numFmtId="0" fontId="3" fillId="3" borderId="3" xfId="0" applyFont="1" applyFill="1" applyBorder="1" applyAlignment="1">
      <alignment horizontal="center"/>
    </xf>
    <xf numFmtId="0" fontId="3" fillId="3" borderId="3" xfId="0" applyFont="1" applyFill="1" applyBorder="1" applyAlignment="1">
      <alignment horizontal="center" wrapText="1"/>
    </xf>
    <xf numFmtId="0" fontId="14" fillId="3" borderId="3" xfId="0" applyFont="1" applyFill="1" applyBorder="1" applyAlignment="1">
      <alignment vertical="center" textRotation="90" wrapText="1"/>
    </xf>
    <xf numFmtId="0" fontId="16" fillId="3" borderId="3" xfId="0" applyFont="1" applyFill="1" applyBorder="1" applyAlignment="1">
      <alignment vertical="center" textRotation="90"/>
    </xf>
    <xf numFmtId="0" fontId="0" fillId="0" borderId="3" xfId="0" applyBorder="1"/>
    <xf numFmtId="0" fontId="0" fillId="0" borderId="3" xfId="0" applyBorder="1" applyAlignment="1">
      <alignment horizontal="center"/>
    </xf>
    <xf numFmtId="164" fontId="0" fillId="0" borderId="3" xfId="0" applyNumberFormat="1" applyBorder="1" applyAlignment="1">
      <alignment horizontal="right"/>
    </xf>
    <xf numFmtId="1" fontId="0" fillId="0" borderId="3" xfId="0" applyNumberFormat="1" applyBorder="1" applyAlignment="1">
      <alignment horizontal="center"/>
    </xf>
    <xf numFmtId="14" fontId="0" fillId="7" borderId="3" xfId="0" applyNumberFormat="1" applyFill="1" applyBorder="1" applyAlignment="1">
      <alignment horizontal="center"/>
    </xf>
    <xf numFmtId="0" fontId="0" fillId="0" borderId="3" xfId="0" applyBorder="1" applyAlignment="1">
      <alignment horizontal="center" vertical="center"/>
    </xf>
    <xf numFmtId="16" fontId="0" fillId="0" borderId="3" xfId="0" applyNumberFormat="1" applyBorder="1" applyAlignment="1">
      <alignment horizontal="center"/>
    </xf>
    <xf numFmtId="0" fontId="3" fillId="3" borderId="3" xfId="0" applyFont="1" applyFill="1" applyBorder="1" applyAlignment="1">
      <alignment vertical="center"/>
    </xf>
    <xf numFmtId="0" fontId="3" fillId="3" borderId="3" xfId="0" applyFont="1" applyFill="1" applyBorder="1" applyAlignment="1">
      <alignment vertical="center" textRotation="90"/>
    </xf>
    <xf numFmtId="0" fontId="3" fillId="3" borderId="3" xfId="0" applyFont="1" applyFill="1" applyBorder="1" applyAlignment="1">
      <alignment vertical="center" textRotation="90" wrapText="1"/>
    </xf>
    <xf numFmtId="165" fontId="0" fillId="0" borderId="3" xfId="0" applyNumberFormat="1" applyBorder="1"/>
    <xf numFmtId="1" fontId="0" fillId="0" borderId="3" xfId="0" applyNumberFormat="1" applyBorder="1" applyAlignment="1">
      <alignment horizontal="center" wrapText="1"/>
    </xf>
    <xf numFmtId="14" fontId="4" fillId="7" borderId="3" xfId="0" applyNumberFormat="1" applyFont="1" applyFill="1" applyBorder="1" applyAlignment="1">
      <alignment horizontal="center"/>
    </xf>
    <xf numFmtId="164" fontId="13" fillId="0" borderId="3" xfId="0" applyNumberFormat="1" applyFont="1" applyBorder="1"/>
    <xf numFmtId="1" fontId="11" fillId="0" borderId="3" xfId="1" applyNumberFormat="1" applyBorder="1" applyAlignment="1">
      <alignment horizontal="center" wrapText="1"/>
    </xf>
    <xf numFmtId="16" fontId="11" fillId="0" borderId="3" xfId="1" applyNumberFormat="1" applyBorder="1" applyAlignment="1">
      <alignment horizontal="center"/>
    </xf>
    <xf numFmtId="3" fontId="0" fillId="0" borderId="3" xfId="0" applyNumberFormat="1" applyBorder="1" applyAlignment="1">
      <alignment horizontal="center"/>
    </xf>
    <xf numFmtId="164" fontId="0" fillId="0" borderId="3" xfId="0" applyNumberFormat="1" applyBorder="1"/>
    <xf numFmtId="16" fontId="0" fillId="0" borderId="3" xfId="0" applyNumberFormat="1" applyBorder="1" applyAlignment="1">
      <alignment horizontal="center" vertical="center"/>
    </xf>
    <xf numFmtId="0" fontId="8" fillId="3" borderId="3" xfId="0" applyFont="1" applyFill="1" applyBorder="1" applyAlignment="1">
      <alignment vertical="center" textRotation="90"/>
    </xf>
    <xf numFmtId="0" fontId="10" fillId="0" borderId="3" xfId="0" applyFont="1" applyBorder="1"/>
    <xf numFmtId="0" fontId="18" fillId="0" borderId="3" xfId="0" applyFont="1" applyBorder="1"/>
    <xf numFmtId="16" fontId="11" fillId="0" borderId="3" xfId="1" applyNumberFormat="1" applyBorder="1" applyAlignment="1">
      <alignment horizontal="center" wrapText="1"/>
    </xf>
    <xf numFmtId="0" fontId="9" fillId="0" borderId="3" xfId="0" applyFont="1" applyBorder="1" applyAlignment="1">
      <alignment horizontal="center"/>
    </xf>
    <xf numFmtId="0" fontId="15" fillId="3" borderId="3" xfId="0" applyFont="1" applyFill="1" applyBorder="1" applyAlignment="1">
      <alignment vertical="center" textRotation="90"/>
    </xf>
    <xf numFmtId="0" fontId="4" fillId="0" borderId="3" xfId="0" applyFont="1" applyBorder="1" applyAlignment="1">
      <alignment horizontal="center"/>
    </xf>
    <xf numFmtId="164" fontId="4" fillId="0" borderId="3" xfId="0" applyNumberFormat="1" applyFont="1" applyBorder="1" applyAlignment="1">
      <alignment horizontal="right"/>
    </xf>
    <xf numFmtId="1" fontId="4" fillId="0" borderId="3" xfId="0" applyNumberFormat="1" applyFont="1" applyBorder="1" applyAlignment="1">
      <alignment horizontal="center"/>
    </xf>
    <xf numFmtId="164" fontId="4" fillId="0" borderId="3" xfId="0" applyNumberFormat="1" applyFont="1" applyBorder="1"/>
    <xf numFmtId="0" fontId="4" fillId="0" borderId="3" xfId="0" applyFont="1" applyBorder="1" applyAlignment="1">
      <alignment wrapText="1"/>
    </xf>
    <xf numFmtId="16" fontId="4" fillId="0" borderId="3" xfId="0" applyNumberFormat="1" applyFont="1" applyBorder="1" applyAlignment="1">
      <alignment horizontal="center"/>
    </xf>
    <xf numFmtId="1" fontId="11" fillId="0" borderId="3" xfId="1" applyNumberFormat="1" applyBorder="1" applyAlignment="1">
      <alignment horizontal="center"/>
    </xf>
    <xf numFmtId="0" fontId="11" fillId="0" borderId="3" xfId="1" applyBorder="1" applyAlignment="1">
      <alignment horizontal="center"/>
    </xf>
    <xf numFmtId="0" fontId="11" fillId="0" borderId="0" xfId="1"/>
    <xf numFmtId="0" fontId="5" fillId="0" borderId="0" xfId="0" applyFont="1" applyAlignment="1">
      <alignment horizontal="left"/>
    </xf>
    <xf numFmtId="0" fontId="7" fillId="5" borderId="3" xfId="0" applyFont="1" applyFill="1" applyBorder="1" applyAlignment="1">
      <alignment horizontal="left"/>
    </xf>
    <xf numFmtId="0" fontId="7" fillId="6" borderId="3" xfId="0" applyFont="1" applyFill="1" applyBorder="1" applyAlignment="1">
      <alignment horizontal="left"/>
    </xf>
    <xf numFmtId="0" fontId="2" fillId="3" borderId="3"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D297E9"/>
      <color rgb="FF8C0606"/>
      <color rgb="FF0496FA"/>
      <color rgb="FF83CCFD"/>
      <color rgb="FF636466"/>
      <color rgb="FF0824F5"/>
      <color rgb="FFFF161F"/>
      <color rgb="FF003C71"/>
      <color rgb="FF3CA6E1"/>
      <color rgb="FFB9DB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Christine Mielke" id="{52D4F14E-A2F3-44D5-82C5-4709C1742791}" userId="S::Christine.mielke@sebrands.com::0774e464-e17d-4d13-bd2e-5f976123c7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3-11-21T15:49:36.39" personId="{52D4F14E-A2F3-44D5-82C5-4709C1742791}" id="{428B546E-76A6-4420-B48A-3E930412B3DA}">
    <text>Add: Referral sheets, Evolt one pager, App one pager</text>
  </threadedComment>
  <threadedComment ref="B18" dT="2023-11-21T15:52:27.44" personId="{52D4F14E-A2F3-44D5-82C5-4709C1742791}" id="{B22232C8-8B8C-4314-BF4D-3647979D59E8}">
    <text xml:space="preserve">Add Feather Flag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support.microsoft.com/en-gb/office/set-or-remove-reminders-7a992377-ca93-4ddd-a711-851ef3597925" TargetMode="External"/><Relationship Id="rId13" Type="http://schemas.microsoft.com/office/2017/10/relationships/threadedComment" Target="../threadedComments/threadedComment1.xml"/><Relationship Id="rId3" Type="http://schemas.openxmlformats.org/officeDocument/2006/relationships/hyperlink" Target="https://anytimefitness.sebvendorportal.com/products?search=folder" TargetMode="External"/><Relationship Id="rId7" Type="http://schemas.openxmlformats.org/officeDocument/2006/relationships/hyperlink" Target="https://anytimefitness.sebvendorportal.com/products?categoryID=WD1ERBgC2EyH9bzkunQYhw" TargetMode="External"/><Relationship Id="rId12" Type="http://schemas.openxmlformats.org/officeDocument/2006/relationships/comments" Target="../comments1.xml"/><Relationship Id="rId2" Type="http://schemas.openxmlformats.org/officeDocument/2006/relationships/hyperlink" Target="https://anytimefitness.sebvendorportal.com/products?search=folder" TargetMode="External"/><Relationship Id="rId1" Type="http://schemas.openxmlformats.org/officeDocument/2006/relationships/hyperlink" Target="https://anytimefitness.sebvendorportal.com/products/GRANDOPENINGAF" TargetMode="External"/><Relationship Id="rId6" Type="http://schemas.openxmlformats.org/officeDocument/2006/relationships/hyperlink" Target="https://anytimefitness.sebvendorportal.com/products?categoryID=4V7fnfGzt0GzhdI_Kpq-EA&amp;f.print_collateral=flags" TargetMode="External"/><Relationship Id="rId11" Type="http://schemas.openxmlformats.org/officeDocument/2006/relationships/vmlDrawing" Target="../drawings/vmlDrawing1.vml"/><Relationship Id="rId5" Type="http://schemas.openxmlformats.org/officeDocument/2006/relationships/hyperlink" Target="https://anytimefitness.sebvendorportal.com/products?categoryID=4V7fnfGzt0GzhdI_Kpq-EA&amp;f.print_collateral=flags" TargetMode="External"/><Relationship Id="rId10" Type="http://schemas.openxmlformats.org/officeDocument/2006/relationships/printerSettings" Target="../printerSettings/printerSettings1.bin"/><Relationship Id="rId4" Type="http://schemas.openxmlformats.org/officeDocument/2006/relationships/hyperlink" Target="https://anytimefitness.sebvendorportal.com/products?categoryID=WD1ERBgC2EyH9bzkunQYhw" TargetMode="External"/><Relationship Id="rId9" Type="http://schemas.openxmlformats.org/officeDocument/2006/relationships/hyperlink" Target="https://support.google.com/mail/answer/13469141?hl=en&amp;sjid=2607412770662261710-N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42"/>
  <sheetViews>
    <sheetView tabSelected="1" zoomScaleNormal="100" workbookViewId="0">
      <selection activeCell="E30" sqref="E30"/>
    </sheetView>
  </sheetViews>
  <sheetFormatPr baseColWidth="10" defaultColWidth="8.6640625" defaultRowHeight="15" customHeight="1" x14ac:dyDescent="0.2"/>
  <cols>
    <col min="1" max="1" width="16" customWidth="1"/>
    <col min="2" max="2" width="38.6640625" customWidth="1"/>
    <col min="3" max="4" width="26" customWidth="1"/>
    <col min="5" max="5" width="72.6640625" customWidth="1"/>
    <col min="6" max="6" width="14.33203125" customWidth="1"/>
    <col min="7" max="7" width="41.6640625" customWidth="1"/>
    <col min="8" max="8" width="27.6640625" customWidth="1"/>
    <col min="9" max="9" width="25.6640625" bestFit="1" customWidth="1"/>
    <col min="10" max="10" width="29.6640625" customWidth="1"/>
    <col min="11" max="11" width="13.6640625" customWidth="1"/>
  </cols>
  <sheetData>
    <row r="1" spans="1:41" ht="21" x14ac:dyDescent="0.25">
      <c r="A1" s="17"/>
      <c r="B1" s="63" t="s">
        <v>0</v>
      </c>
      <c r="C1" s="63"/>
      <c r="D1" s="63"/>
      <c r="E1" s="63"/>
      <c r="F1" s="63"/>
      <c r="G1" s="63"/>
      <c r="H1" s="63"/>
      <c r="I1" s="63"/>
      <c r="J1" s="63"/>
      <c r="K1" s="63"/>
    </row>
    <row r="2" spans="1:41" ht="21" x14ac:dyDescent="0.25">
      <c r="A2" s="18" t="s">
        <v>1</v>
      </c>
      <c r="B2" s="19"/>
      <c r="C2" s="19"/>
      <c r="D2" s="19"/>
      <c r="E2" s="19"/>
      <c r="F2" s="19"/>
      <c r="G2" s="19"/>
      <c r="H2" s="19"/>
      <c r="I2" s="19"/>
      <c r="J2" s="19"/>
      <c r="K2" s="19"/>
    </row>
    <row r="3" spans="1:41" ht="40" x14ac:dyDescent="0.25">
      <c r="A3" s="20">
        <v>45214</v>
      </c>
      <c r="B3" s="21" t="s">
        <v>2</v>
      </c>
      <c r="C3" s="22" t="s">
        <v>3</v>
      </c>
      <c r="D3" s="23" t="s">
        <v>4</v>
      </c>
      <c r="E3" s="21" t="s">
        <v>5</v>
      </c>
      <c r="F3" s="23" t="s">
        <v>6</v>
      </c>
      <c r="G3" s="22" t="s">
        <v>7</v>
      </c>
      <c r="H3" s="23" t="s">
        <v>8</v>
      </c>
      <c r="I3" s="23" t="s">
        <v>9</v>
      </c>
      <c r="J3" s="22" t="s">
        <v>10</v>
      </c>
      <c r="K3" s="22" t="s">
        <v>11</v>
      </c>
    </row>
    <row r="4" spans="1:41" s="15" customFormat="1" ht="15" customHeight="1" x14ac:dyDescent="0.2">
      <c r="A4" s="24"/>
      <c r="B4" s="61" t="s">
        <v>12</v>
      </c>
      <c r="C4" s="61"/>
      <c r="D4" s="61"/>
      <c r="E4" s="61"/>
      <c r="F4" s="61"/>
      <c r="G4" s="61"/>
      <c r="H4" s="61"/>
      <c r="I4" s="61"/>
      <c r="J4" s="61"/>
      <c r="K4" s="61"/>
      <c r="L4"/>
      <c r="M4"/>
      <c r="N4"/>
      <c r="O4"/>
      <c r="P4"/>
      <c r="Q4"/>
      <c r="R4"/>
      <c r="S4"/>
      <c r="T4"/>
      <c r="U4"/>
      <c r="V4"/>
      <c r="W4"/>
      <c r="X4"/>
      <c r="Y4"/>
      <c r="Z4"/>
      <c r="AA4"/>
      <c r="AB4"/>
      <c r="AC4"/>
      <c r="AD4"/>
      <c r="AE4"/>
      <c r="AF4"/>
      <c r="AG4"/>
      <c r="AH4"/>
      <c r="AI4"/>
      <c r="AJ4"/>
      <c r="AK4"/>
      <c r="AL4"/>
      <c r="AM4"/>
      <c r="AN4"/>
      <c r="AO4"/>
    </row>
    <row r="5" spans="1:41" x14ac:dyDescent="0.2">
      <c r="A5" s="25"/>
      <c r="B5" s="26" t="s">
        <v>13</v>
      </c>
      <c r="C5" s="27" t="s">
        <v>14</v>
      </c>
      <c r="D5" s="27" t="s">
        <v>15</v>
      </c>
      <c r="E5" s="26" t="s">
        <v>16</v>
      </c>
      <c r="F5" s="28">
        <v>18000</v>
      </c>
      <c r="G5" s="29" t="s">
        <v>17</v>
      </c>
      <c r="H5" s="30">
        <f>WORKDAY($A$3,-40)</f>
        <v>45159</v>
      </c>
      <c r="I5" s="31" t="s">
        <v>18</v>
      </c>
      <c r="J5" s="32"/>
      <c r="K5" s="26"/>
    </row>
    <row r="6" spans="1:41" s="15" customFormat="1" ht="15" customHeight="1" x14ac:dyDescent="0.2">
      <c r="A6" s="33"/>
      <c r="B6" s="62" t="s">
        <v>19</v>
      </c>
      <c r="C6" s="62"/>
      <c r="D6" s="62"/>
      <c r="E6" s="62"/>
      <c r="F6" s="62"/>
      <c r="G6" s="62"/>
      <c r="H6" s="62"/>
      <c r="I6" s="62"/>
      <c r="J6" s="62"/>
      <c r="K6" s="62"/>
      <c r="L6"/>
      <c r="M6"/>
      <c r="N6"/>
      <c r="O6"/>
      <c r="P6"/>
      <c r="Q6"/>
      <c r="R6"/>
      <c r="S6"/>
      <c r="T6"/>
      <c r="U6"/>
      <c r="V6"/>
      <c r="W6"/>
      <c r="X6"/>
      <c r="Y6"/>
      <c r="Z6"/>
      <c r="AA6"/>
      <c r="AB6"/>
      <c r="AC6"/>
      <c r="AD6"/>
      <c r="AE6"/>
      <c r="AF6"/>
      <c r="AG6"/>
      <c r="AH6"/>
      <c r="AI6"/>
      <c r="AJ6"/>
      <c r="AK6"/>
      <c r="AL6"/>
      <c r="AM6"/>
      <c r="AN6"/>
      <c r="AO6"/>
    </row>
    <row r="7" spans="1:41" ht="15" customHeight="1" x14ac:dyDescent="0.2">
      <c r="A7" s="33"/>
      <c r="B7" s="26" t="s">
        <v>20</v>
      </c>
      <c r="C7" s="27" t="s">
        <v>21</v>
      </c>
      <c r="D7" s="27" t="s">
        <v>22</v>
      </c>
      <c r="E7" s="16" t="s">
        <v>16</v>
      </c>
      <c r="F7" s="28">
        <f>10000*0.4</f>
        <v>4000</v>
      </c>
      <c r="G7" s="29" t="s">
        <v>23</v>
      </c>
      <c r="H7" s="30">
        <f>WORKDAY($A$3,-40)</f>
        <v>45159</v>
      </c>
      <c r="I7" s="32" t="s">
        <v>18</v>
      </c>
      <c r="J7" s="32"/>
      <c r="K7" s="26"/>
    </row>
    <row r="8" spans="1:41" s="13" customFormat="1" ht="15" customHeight="1" x14ac:dyDescent="0.2">
      <c r="A8" s="34"/>
      <c r="B8" s="61" t="s">
        <v>24</v>
      </c>
      <c r="C8" s="61"/>
      <c r="D8" s="61"/>
      <c r="E8" s="61"/>
      <c r="F8" s="61"/>
      <c r="G8" s="61"/>
      <c r="H8" s="61"/>
      <c r="I8" s="61"/>
      <c r="J8" s="61"/>
      <c r="K8" s="61"/>
      <c r="L8"/>
      <c r="M8"/>
      <c r="N8"/>
      <c r="O8"/>
      <c r="P8"/>
      <c r="Q8"/>
      <c r="R8"/>
      <c r="S8"/>
      <c r="T8"/>
      <c r="U8"/>
      <c r="V8"/>
      <c r="W8"/>
      <c r="X8"/>
      <c r="Y8"/>
      <c r="Z8"/>
      <c r="AA8"/>
      <c r="AB8"/>
      <c r="AC8"/>
      <c r="AD8"/>
      <c r="AE8"/>
      <c r="AF8"/>
      <c r="AG8"/>
      <c r="AH8"/>
      <c r="AI8"/>
      <c r="AJ8"/>
      <c r="AK8"/>
      <c r="AL8"/>
      <c r="AM8"/>
      <c r="AN8"/>
      <c r="AO8"/>
    </row>
    <row r="9" spans="1:41" ht="16" x14ac:dyDescent="0.2">
      <c r="A9" s="35"/>
      <c r="B9" s="26" t="s">
        <v>25</v>
      </c>
      <c r="C9" s="27">
        <v>500</v>
      </c>
      <c r="D9" s="27" t="s">
        <v>15</v>
      </c>
      <c r="E9" s="16" t="s">
        <v>26</v>
      </c>
      <c r="F9" s="36">
        <v>37.5</v>
      </c>
      <c r="G9" s="37" t="s">
        <v>27</v>
      </c>
      <c r="H9" s="38">
        <f>WORKDAY($A$3,-40)</f>
        <v>45159</v>
      </c>
      <c r="I9" s="31" t="s">
        <v>28</v>
      </c>
      <c r="J9" s="32"/>
      <c r="K9" s="26"/>
    </row>
    <row r="10" spans="1:41" ht="16" x14ac:dyDescent="0.2">
      <c r="A10" s="35"/>
      <c r="B10" s="26" t="s">
        <v>29</v>
      </c>
      <c r="C10" s="27">
        <v>500</v>
      </c>
      <c r="D10" s="27" t="s">
        <v>15</v>
      </c>
      <c r="E10" s="16" t="s">
        <v>30</v>
      </c>
      <c r="F10" s="36">
        <v>37.5</v>
      </c>
      <c r="G10" s="37" t="s">
        <v>27</v>
      </c>
      <c r="H10" s="38">
        <f t="shared" ref="H10:H17" si="0">WORKDAY($A$3,-40)</f>
        <v>45159</v>
      </c>
      <c r="I10" s="31" t="s">
        <v>28</v>
      </c>
      <c r="J10" s="32"/>
      <c r="K10" s="26"/>
    </row>
    <row r="11" spans="1:41" ht="16" x14ac:dyDescent="0.2">
      <c r="A11" s="35"/>
      <c r="B11" s="26" t="s">
        <v>31</v>
      </c>
      <c r="C11" s="27">
        <v>500</v>
      </c>
      <c r="D11" s="27" t="s">
        <v>15</v>
      </c>
      <c r="E11" s="16" t="s">
        <v>32</v>
      </c>
      <c r="F11" s="39">
        <v>500</v>
      </c>
      <c r="G11" s="40" t="s">
        <v>33</v>
      </c>
      <c r="H11" s="38">
        <f t="shared" si="0"/>
        <v>45159</v>
      </c>
      <c r="I11" s="41" t="s">
        <v>34</v>
      </c>
      <c r="J11" s="32"/>
      <c r="K11" s="26"/>
    </row>
    <row r="12" spans="1:41" ht="16" x14ac:dyDescent="0.2">
      <c r="A12" s="35"/>
      <c r="B12" s="26" t="s">
        <v>35</v>
      </c>
      <c r="C12" s="27">
        <v>500</v>
      </c>
      <c r="D12" s="27" t="s">
        <v>15</v>
      </c>
      <c r="E12" s="16" t="s">
        <v>36</v>
      </c>
      <c r="F12" s="39">
        <v>390</v>
      </c>
      <c r="G12" s="37" t="s">
        <v>27</v>
      </c>
      <c r="H12" s="38">
        <f t="shared" si="0"/>
        <v>45159</v>
      </c>
      <c r="I12" s="31" t="s">
        <v>37</v>
      </c>
      <c r="J12" s="32"/>
      <c r="K12" s="26"/>
    </row>
    <row r="13" spans="1:41" ht="16" x14ac:dyDescent="0.2">
      <c r="A13" s="35"/>
      <c r="B13" s="26" t="s">
        <v>38</v>
      </c>
      <c r="C13" s="42">
        <v>1000</v>
      </c>
      <c r="D13" s="27" t="s">
        <v>15</v>
      </c>
      <c r="E13" s="16" t="s">
        <v>104</v>
      </c>
      <c r="F13" s="39">
        <v>280</v>
      </c>
      <c r="G13" s="37" t="s">
        <v>27</v>
      </c>
      <c r="H13" s="38">
        <f t="shared" si="0"/>
        <v>45159</v>
      </c>
      <c r="I13" s="31" t="s">
        <v>39</v>
      </c>
      <c r="J13" s="32"/>
      <c r="K13" s="26"/>
    </row>
    <row r="14" spans="1:41" ht="16" x14ac:dyDescent="0.2">
      <c r="A14" s="35"/>
      <c r="B14" s="26" t="s">
        <v>40</v>
      </c>
      <c r="C14" s="42">
        <v>1000</v>
      </c>
      <c r="D14" s="27" t="s">
        <v>15</v>
      </c>
      <c r="E14" s="16" t="s">
        <v>41</v>
      </c>
      <c r="F14" s="39">
        <v>280</v>
      </c>
      <c r="G14" s="37" t="s">
        <v>27</v>
      </c>
      <c r="H14" s="38">
        <f>WORKDAY($A$3,-20)</f>
        <v>45187</v>
      </c>
      <c r="I14" s="31" t="s">
        <v>42</v>
      </c>
      <c r="J14" s="32"/>
      <c r="K14" s="26"/>
    </row>
    <row r="15" spans="1:41" ht="16" x14ac:dyDescent="0.2">
      <c r="A15" s="35"/>
      <c r="B15" s="26" t="s">
        <v>43</v>
      </c>
      <c r="C15" s="42">
        <v>500</v>
      </c>
      <c r="D15" s="27" t="s">
        <v>15</v>
      </c>
      <c r="E15" s="16" t="s">
        <v>105</v>
      </c>
      <c r="F15" s="39">
        <v>205</v>
      </c>
      <c r="G15" s="37" t="s">
        <v>27</v>
      </c>
      <c r="H15" s="38">
        <f t="shared" si="0"/>
        <v>45159</v>
      </c>
      <c r="I15" s="31" t="s">
        <v>44</v>
      </c>
      <c r="J15" s="32"/>
      <c r="K15" s="26"/>
    </row>
    <row r="16" spans="1:41" ht="16" x14ac:dyDescent="0.2">
      <c r="A16" s="35"/>
      <c r="B16" s="26" t="s">
        <v>45</v>
      </c>
      <c r="C16" s="42">
        <v>500</v>
      </c>
      <c r="D16" s="27" t="s">
        <v>15</v>
      </c>
      <c r="E16" s="16" t="s">
        <v>46</v>
      </c>
      <c r="F16" s="39">
        <v>205</v>
      </c>
      <c r="G16" s="37" t="s">
        <v>27</v>
      </c>
      <c r="H16" s="38">
        <f>WORKDAY($A$3,-20)</f>
        <v>45187</v>
      </c>
      <c r="I16" s="31" t="s">
        <v>47</v>
      </c>
      <c r="J16" s="32"/>
      <c r="K16" s="26"/>
    </row>
    <row r="17" spans="1:41" ht="16" x14ac:dyDescent="0.2">
      <c r="A17" s="35"/>
      <c r="B17" s="26" t="s">
        <v>48</v>
      </c>
      <c r="C17" s="27">
        <v>10</v>
      </c>
      <c r="D17" s="27" t="s">
        <v>22</v>
      </c>
      <c r="E17" s="16" t="s">
        <v>49</v>
      </c>
      <c r="F17" s="43">
        <v>25</v>
      </c>
      <c r="G17" s="37" t="s">
        <v>27</v>
      </c>
      <c r="H17" s="38">
        <f t="shared" si="0"/>
        <v>45159</v>
      </c>
      <c r="I17" s="44" t="s">
        <v>50</v>
      </c>
      <c r="J17" s="32"/>
      <c r="K17" s="26"/>
    </row>
    <row r="18" spans="1:41" s="14" customFormat="1" ht="15" customHeight="1" x14ac:dyDescent="0.2">
      <c r="A18" s="24"/>
      <c r="B18" s="62" t="s">
        <v>51</v>
      </c>
      <c r="C18" s="62"/>
      <c r="D18" s="62"/>
      <c r="E18" s="62"/>
      <c r="F18" s="62"/>
      <c r="G18" s="62"/>
      <c r="H18" s="62"/>
      <c r="I18" s="62"/>
      <c r="J18" s="62"/>
      <c r="K18" s="62"/>
      <c r="L18"/>
      <c r="M18"/>
      <c r="N18"/>
      <c r="O18"/>
      <c r="P18"/>
      <c r="Q18"/>
      <c r="R18"/>
      <c r="S18"/>
      <c r="T18"/>
      <c r="U18"/>
      <c r="V18"/>
      <c r="W18"/>
      <c r="X18"/>
      <c r="Y18"/>
      <c r="Z18"/>
      <c r="AA18"/>
      <c r="AB18"/>
      <c r="AC18"/>
      <c r="AD18"/>
      <c r="AE18"/>
      <c r="AF18"/>
      <c r="AG18"/>
      <c r="AH18"/>
      <c r="AI18"/>
      <c r="AJ18"/>
      <c r="AK18"/>
      <c r="AL18"/>
      <c r="AM18"/>
      <c r="AN18"/>
      <c r="AO18"/>
    </row>
    <row r="19" spans="1:41" ht="16" x14ac:dyDescent="0.2">
      <c r="A19" s="45"/>
      <c r="B19" s="26" t="s">
        <v>52</v>
      </c>
      <c r="C19" s="27">
        <v>1</v>
      </c>
      <c r="D19" s="27" t="s">
        <v>15</v>
      </c>
      <c r="E19" s="16" t="s">
        <v>53</v>
      </c>
      <c r="F19" s="28">
        <v>78</v>
      </c>
      <c r="G19" s="37" t="s">
        <v>27</v>
      </c>
      <c r="H19" s="30">
        <f>WORKDAY($A$3,-40)</f>
        <v>45159</v>
      </c>
      <c r="I19" s="44" t="s">
        <v>54</v>
      </c>
      <c r="J19" s="32"/>
      <c r="K19" s="26"/>
    </row>
    <row r="20" spans="1:41" ht="16" x14ac:dyDescent="0.2">
      <c r="A20" s="45"/>
      <c r="B20" s="26" t="s">
        <v>55</v>
      </c>
      <c r="C20" s="27">
        <v>1</v>
      </c>
      <c r="D20" s="27" t="s">
        <v>15</v>
      </c>
      <c r="E20" s="46" t="s">
        <v>56</v>
      </c>
      <c r="F20" s="28">
        <v>78</v>
      </c>
      <c r="G20" s="37" t="s">
        <v>27</v>
      </c>
      <c r="H20" s="38">
        <f>WORKDAY($A$3,-20)</f>
        <v>45187</v>
      </c>
      <c r="I20" s="31" t="s">
        <v>57</v>
      </c>
      <c r="J20" s="32"/>
      <c r="K20" s="26"/>
    </row>
    <row r="21" spans="1:41" ht="18" x14ac:dyDescent="0.2">
      <c r="A21" s="45"/>
      <c r="B21" s="26" t="s">
        <v>58</v>
      </c>
      <c r="C21" s="27">
        <v>1</v>
      </c>
      <c r="D21" s="27" t="s">
        <v>15</v>
      </c>
      <c r="E21" s="46" t="s">
        <v>59</v>
      </c>
      <c r="F21" s="28">
        <v>147</v>
      </c>
      <c r="G21" s="37" t="s">
        <v>27</v>
      </c>
      <c r="H21" s="30">
        <f t="shared" ref="H21:H35" si="1">WORKDAY($A$3,-40)</f>
        <v>45159</v>
      </c>
      <c r="I21" s="31" t="s">
        <v>60</v>
      </c>
      <c r="J21" s="47"/>
      <c r="K21" s="26"/>
    </row>
    <row r="22" spans="1:41" ht="16" x14ac:dyDescent="0.2">
      <c r="A22" s="45"/>
      <c r="B22" s="26" t="s">
        <v>61</v>
      </c>
      <c r="C22" s="27">
        <v>1</v>
      </c>
      <c r="D22" s="27" t="s">
        <v>15</v>
      </c>
      <c r="E22" s="16" t="s">
        <v>62</v>
      </c>
      <c r="F22" s="28">
        <v>1109</v>
      </c>
      <c r="G22" s="40" t="s">
        <v>33</v>
      </c>
      <c r="H22" s="30">
        <f t="shared" si="1"/>
        <v>45159</v>
      </c>
      <c r="I22" s="41" t="s">
        <v>63</v>
      </c>
      <c r="J22" s="48"/>
      <c r="K22" s="26"/>
    </row>
    <row r="23" spans="1:41" ht="16" x14ac:dyDescent="0.2">
      <c r="A23" s="45"/>
      <c r="B23" s="26" t="s">
        <v>64</v>
      </c>
      <c r="C23" s="27">
        <v>2</v>
      </c>
      <c r="D23" s="27" t="s">
        <v>15</v>
      </c>
      <c r="E23" s="16" t="s">
        <v>106</v>
      </c>
      <c r="F23" s="28">
        <v>78</v>
      </c>
      <c r="G23" s="37" t="s">
        <v>27</v>
      </c>
      <c r="H23" s="30">
        <f t="shared" si="1"/>
        <v>45159</v>
      </c>
      <c r="I23" s="27" t="s">
        <v>66</v>
      </c>
      <c r="J23" s="32"/>
      <c r="K23" s="26"/>
    </row>
    <row r="24" spans="1:41" ht="16" x14ac:dyDescent="0.2">
      <c r="A24" s="45"/>
      <c r="B24" s="26" t="s">
        <v>67</v>
      </c>
      <c r="C24" s="27">
        <v>2</v>
      </c>
      <c r="D24" s="27" t="s">
        <v>15</v>
      </c>
      <c r="E24" s="46" t="s">
        <v>56</v>
      </c>
      <c r="F24" s="28">
        <v>78</v>
      </c>
      <c r="G24" s="37" t="s">
        <v>27</v>
      </c>
      <c r="H24" s="38">
        <f>WORKDAY($A$3,-20)</f>
        <v>45187</v>
      </c>
      <c r="I24" s="27" t="s">
        <v>68</v>
      </c>
      <c r="J24" s="32"/>
      <c r="K24" s="26"/>
    </row>
    <row r="25" spans="1:41" ht="16" x14ac:dyDescent="0.2">
      <c r="A25" s="45"/>
      <c r="B25" s="26" t="s">
        <v>69</v>
      </c>
      <c r="C25" s="27">
        <v>1</v>
      </c>
      <c r="D25" s="27" t="s">
        <v>15</v>
      </c>
      <c r="E25" s="46" t="s">
        <v>18</v>
      </c>
      <c r="F25" s="28">
        <v>125</v>
      </c>
      <c r="G25" s="37" t="s">
        <v>27</v>
      </c>
      <c r="H25" s="30">
        <f t="shared" si="1"/>
        <v>45159</v>
      </c>
      <c r="I25" s="31" t="s">
        <v>70</v>
      </c>
      <c r="J25" s="49"/>
      <c r="K25" s="26"/>
    </row>
    <row r="26" spans="1:41" ht="16" x14ac:dyDescent="0.2">
      <c r="A26" s="45"/>
      <c r="B26" s="26" t="s">
        <v>71</v>
      </c>
      <c r="C26" s="27">
        <v>1</v>
      </c>
      <c r="D26" s="27" t="s">
        <v>15</v>
      </c>
      <c r="E26" s="16" t="s">
        <v>65</v>
      </c>
      <c r="F26" s="28">
        <v>31</v>
      </c>
      <c r="G26" s="37" t="s">
        <v>27</v>
      </c>
      <c r="H26" s="30">
        <f t="shared" si="1"/>
        <v>45159</v>
      </c>
      <c r="I26" s="31" t="s">
        <v>72</v>
      </c>
      <c r="J26" s="49"/>
      <c r="K26" s="26"/>
    </row>
    <row r="27" spans="1:41" ht="16" x14ac:dyDescent="0.2">
      <c r="A27" s="45"/>
      <c r="B27" s="26" t="s">
        <v>73</v>
      </c>
      <c r="C27" s="27">
        <v>1</v>
      </c>
      <c r="D27" s="27" t="s">
        <v>15</v>
      </c>
      <c r="E27" s="46" t="s">
        <v>56</v>
      </c>
      <c r="F27" s="28">
        <v>31</v>
      </c>
      <c r="G27" s="37" t="s">
        <v>27</v>
      </c>
      <c r="H27" s="38">
        <f>WORKDAY($A$3,-20)</f>
        <v>45187</v>
      </c>
      <c r="I27" s="31" t="s">
        <v>74</v>
      </c>
      <c r="J27" s="49"/>
      <c r="K27" s="26"/>
    </row>
    <row r="28" spans="1:41" s="14" customFormat="1" ht="15" customHeight="1" x14ac:dyDescent="0.2">
      <c r="A28" s="34"/>
      <c r="B28" s="61" t="s">
        <v>75</v>
      </c>
      <c r="C28" s="61"/>
      <c r="D28" s="61"/>
      <c r="E28" s="61"/>
      <c r="F28" s="61"/>
      <c r="G28" s="61"/>
      <c r="H28" s="61"/>
      <c r="I28" s="61"/>
      <c r="J28" s="61"/>
      <c r="K28" s="61"/>
      <c r="L28"/>
      <c r="M28"/>
      <c r="N28"/>
      <c r="O28"/>
      <c r="P28"/>
      <c r="Q28"/>
      <c r="R28"/>
      <c r="S28"/>
      <c r="T28"/>
      <c r="U28"/>
      <c r="V28"/>
      <c r="W28"/>
      <c r="X28"/>
      <c r="Y28"/>
      <c r="Z28"/>
      <c r="AA28"/>
      <c r="AB28"/>
      <c r="AC28"/>
      <c r="AD28"/>
      <c r="AE28"/>
      <c r="AF28"/>
      <c r="AG28"/>
      <c r="AH28"/>
      <c r="AI28"/>
      <c r="AJ28"/>
      <c r="AK28"/>
      <c r="AL28"/>
      <c r="AM28"/>
      <c r="AN28"/>
      <c r="AO28"/>
    </row>
    <row r="29" spans="1:41" ht="16" x14ac:dyDescent="0.2">
      <c r="A29" s="45"/>
      <c r="B29" s="26" t="s">
        <v>76</v>
      </c>
      <c r="C29" s="32" t="s">
        <v>77</v>
      </c>
      <c r="D29" s="27" t="s">
        <v>22</v>
      </c>
      <c r="E29" s="46" t="s">
        <v>78</v>
      </c>
      <c r="F29" s="28">
        <v>160</v>
      </c>
      <c r="G29" s="40" t="s">
        <v>33</v>
      </c>
      <c r="H29" s="30">
        <f t="shared" si="1"/>
        <v>45159</v>
      </c>
      <c r="I29" s="58" t="s">
        <v>79</v>
      </c>
      <c r="J29" s="49"/>
      <c r="K29" s="26"/>
    </row>
    <row r="30" spans="1:41" ht="16" x14ac:dyDescent="0.2">
      <c r="A30" s="45"/>
      <c r="B30" s="26" t="s">
        <v>80</v>
      </c>
      <c r="C30" s="27">
        <v>500</v>
      </c>
      <c r="D30" s="27" t="s">
        <v>22</v>
      </c>
      <c r="E30" s="16" t="s">
        <v>107</v>
      </c>
      <c r="F30" s="28">
        <v>100</v>
      </c>
      <c r="G30" s="37" t="s">
        <v>27</v>
      </c>
      <c r="H30" s="30">
        <f t="shared" si="1"/>
        <v>45159</v>
      </c>
      <c r="I30" s="31" t="s">
        <v>81</v>
      </c>
      <c r="J30" s="49"/>
      <c r="K30" s="26"/>
    </row>
    <row r="31" spans="1:41" ht="16" x14ac:dyDescent="0.2">
      <c r="A31" s="50"/>
      <c r="B31" s="26" t="s">
        <v>82</v>
      </c>
      <c r="C31" s="27">
        <v>500</v>
      </c>
      <c r="D31" s="27" t="s">
        <v>22</v>
      </c>
      <c r="E31" t="s">
        <v>83</v>
      </c>
      <c r="F31" s="28">
        <v>100</v>
      </c>
      <c r="G31" s="37" t="s">
        <v>27</v>
      </c>
      <c r="H31" s="38">
        <f>WORKDAY($A$3,-20)</f>
        <v>45187</v>
      </c>
      <c r="I31" s="31" t="s">
        <v>84</v>
      </c>
      <c r="J31" s="32"/>
      <c r="K31" s="26"/>
    </row>
    <row r="32" spans="1:41" x14ac:dyDescent="0.2">
      <c r="A32" s="50"/>
      <c r="B32" s="16" t="s">
        <v>85</v>
      </c>
      <c r="C32" s="51" t="s">
        <v>77</v>
      </c>
      <c r="D32" s="27" t="s">
        <v>22</v>
      </c>
      <c r="E32" s="16" t="s">
        <v>86</v>
      </c>
      <c r="F32" s="52" t="s">
        <v>87</v>
      </c>
      <c r="G32" s="57" t="s">
        <v>33</v>
      </c>
      <c r="H32" s="30">
        <f t="shared" si="1"/>
        <v>45159</v>
      </c>
      <c r="I32" s="41" t="s">
        <v>88</v>
      </c>
      <c r="J32" s="56"/>
      <c r="K32" s="16"/>
    </row>
    <row r="33" spans="1:41" x14ac:dyDescent="0.2">
      <c r="A33" s="50"/>
      <c r="B33" s="16" t="s">
        <v>89</v>
      </c>
      <c r="C33" s="51">
        <v>1</v>
      </c>
      <c r="D33" s="27" t="s">
        <v>22</v>
      </c>
      <c r="E33" s="16" t="s">
        <v>90</v>
      </c>
      <c r="F33" s="52" t="s">
        <v>77</v>
      </c>
      <c r="G33" s="53" t="s">
        <v>91</v>
      </c>
      <c r="H33" s="30">
        <f t="shared" si="1"/>
        <v>45159</v>
      </c>
      <c r="I33" s="16"/>
      <c r="J33" s="16"/>
      <c r="K33" s="32"/>
    </row>
    <row r="34" spans="1:41" x14ac:dyDescent="0.2">
      <c r="A34" s="50"/>
      <c r="B34" s="16" t="s">
        <v>92</v>
      </c>
      <c r="C34" s="51">
        <v>1</v>
      </c>
      <c r="D34" s="27" t="s">
        <v>22</v>
      </c>
      <c r="E34" s="16" t="s">
        <v>93</v>
      </c>
      <c r="F34" s="54">
        <v>40</v>
      </c>
      <c r="G34" s="53" t="s">
        <v>94</v>
      </c>
      <c r="H34" s="30">
        <f t="shared" si="1"/>
        <v>45159</v>
      </c>
      <c r="I34" s="55"/>
      <c r="J34" s="55"/>
      <c r="K34" s="32"/>
    </row>
    <row r="35" spans="1:41" x14ac:dyDescent="0.2">
      <c r="A35" s="50"/>
      <c r="B35" s="26" t="s">
        <v>95</v>
      </c>
      <c r="C35" s="27">
        <v>1</v>
      </c>
      <c r="D35" s="27" t="s">
        <v>22</v>
      </c>
      <c r="E35" s="26" t="s">
        <v>96</v>
      </c>
      <c r="F35" s="28" t="s">
        <v>87</v>
      </c>
      <c r="G35" s="29" t="s">
        <v>97</v>
      </c>
      <c r="H35" s="30">
        <f t="shared" si="1"/>
        <v>45159</v>
      </c>
      <c r="I35" s="32"/>
      <c r="J35" s="32"/>
      <c r="K35" s="26"/>
    </row>
    <row r="36" spans="1:41" x14ac:dyDescent="0.2">
      <c r="A36" s="50"/>
      <c r="B36" s="16" t="s">
        <v>98</v>
      </c>
      <c r="C36" s="51">
        <v>1</v>
      </c>
      <c r="D36" s="27" t="s">
        <v>22</v>
      </c>
      <c r="E36" s="16" t="s">
        <v>99</v>
      </c>
      <c r="F36" s="52" t="s">
        <v>77</v>
      </c>
      <c r="G36" s="53" t="s">
        <v>91</v>
      </c>
      <c r="H36" s="38">
        <f>WORKDAY($A$3,-20)</f>
        <v>45187</v>
      </c>
      <c r="I36" s="56"/>
      <c r="J36" s="56"/>
      <c r="K36" s="16"/>
    </row>
    <row r="37" spans="1:41" s="7" customFormat="1" ht="16" thickBot="1" x14ac:dyDescent="0.25">
      <c r="C37" s="8"/>
      <c r="D37" s="8"/>
      <c r="E37" s="9"/>
      <c r="F37" s="10"/>
      <c r="G37" s="11"/>
      <c r="H37" s="8"/>
      <c r="I37" s="12"/>
      <c r="J37" s="12"/>
      <c r="L37"/>
      <c r="M37"/>
      <c r="N37"/>
      <c r="O37"/>
      <c r="P37"/>
      <c r="Q37"/>
      <c r="R37"/>
      <c r="S37"/>
      <c r="T37"/>
      <c r="U37"/>
      <c r="V37"/>
      <c r="W37"/>
      <c r="X37"/>
      <c r="Y37"/>
      <c r="Z37"/>
      <c r="AA37"/>
      <c r="AB37"/>
      <c r="AC37"/>
      <c r="AD37"/>
      <c r="AE37"/>
      <c r="AF37"/>
      <c r="AG37"/>
      <c r="AH37"/>
      <c r="AI37"/>
      <c r="AJ37"/>
      <c r="AK37"/>
      <c r="AL37"/>
      <c r="AM37"/>
      <c r="AN37"/>
      <c r="AO37"/>
    </row>
    <row r="38" spans="1:41" ht="17" thickBot="1" x14ac:dyDescent="0.25">
      <c r="B38" s="6"/>
      <c r="E38" s="1" t="s">
        <v>100</v>
      </c>
      <c r="F38" s="2">
        <f>SUM(F5:F36)</f>
        <v>26115</v>
      </c>
      <c r="G38" s="3"/>
      <c r="H38" s="4"/>
      <c r="I38" s="5"/>
      <c r="J38" s="5"/>
    </row>
    <row r="39" spans="1:41" ht="16" x14ac:dyDescent="0.2">
      <c r="B39" s="6"/>
      <c r="E39" s="60"/>
      <c r="F39" s="5"/>
      <c r="G39" s="3"/>
      <c r="H39" s="4"/>
      <c r="I39" s="5"/>
      <c r="J39" s="5"/>
    </row>
    <row r="40" spans="1:41" ht="15" customHeight="1" x14ac:dyDescent="0.2">
      <c r="B40" s="6" t="s">
        <v>101</v>
      </c>
    </row>
    <row r="41" spans="1:41" ht="15" customHeight="1" x14ac:dyDescent="0.2">
      <c r="B41" s="59" t="s">
        <v>102</v>
      </c>
    </row>
    <row r="42" spans="1:41" ht="15" customHeight="1" x14ac:dyDescent="0.2">
      <c r="B42" s="59" t="s">
        <v>103</v>
      </c>
    </row>
  </sheetData>
  <mergeCells count="6">
    <mergeCell ref="B28:K28"/>
    <mergeCell ref="B6:K6"/>
    <mergeCell ref="B4:K4"/>
    <mergeCell ref="B1:K1"/>
    <mergeCell ref="B8:K8"/>
    <mergeCell ref="B18:K18"/>
  </mergeCells>
  <phoneticPr fontId="12" type="noConversion"/>
  <hyperlinks>
    <hyperlink ref="G22" r:id="rId1" xr:uid="{4DC9EEB2-16B3-E845-9E29-248FB1865785}"/>
    <hyperlink ref="G11" r:id="rId2" xr:uid="{7DEB01F1-1E24-2744-99C7-F1A1CFA9B5AB}"/>
    <hyperlink ref="I11" r:id="rId3" xr:uid="{F069CEB4-BDBB-0043-ADF8-C5F6FC771593}"/>
    <hyperlink ref="G32" r:id="rId4" xr:uid="{1399CEA4-F2B4-244B-8EB6-E96FF15E0673}"/>
    <hyperlink ref="G29" r:id="rId5" xr:uid="{35BBDDBB-4E7A-9D4A-8928-55AAD264951D}"/>
    <hyperlink ref="I29" r:id="rId6" xr:uid="{295FD016-A58A-924A-AD95-A7CA61D940C7}"/>
    <hyperlink ref="I32" r:id="rId7" xr:uid="{E44459D8-492E-1D45-8178-9A6773B9D70F}"/>
    <hyperlink ref="B41" r:id="rId8" display="Directions - How to set up reminders in Outlook" xr:uid="{ED1B17A3-6219-2F49-8D5E-B07FB4C0D7B9}"/>
    <hyperlink ref="B42" r:id="rId9" xr:uid="{D32CA0FB-4FF7-E04A-ABE9-4C3FCFBE2731}"/>
  </hyperlinks>
  <pageMargins left="0.7" right="0.7" top="0.75" bottom="0.75" header="0.3" footer="0.3"/>
  <pageSetup scale="75" orientation="landscape" r:id="rId10"/>
  <colBreaks count="1" manualBreakCount="1">
    <brk id="6" max="51" man="1"/>
  </colBreaks>
  <legacy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x0020__x0026__x0020_Time xmlns="9464be75-fc0f-4c74-b7a9-67e6b6b30f78">2023-08-09T18:00:00+00:00</Date_x0020__x0026__x0020_Time>
    <_Flow_SignoffStatus xmlns="9464be75-fc0f-4c74-b7a9-67e6b6b30f78" xsi:nil="true"/>
    <TaxCatchAll xmlns="47019a7e-a60c-4a1f-b4fd-44452cf97621" xsi:nil="true"/>
    <lcf76f155ced4ddcb4097134ff3c332f xmlns="9464be75-fc0f-4c74-b7a9-67e6b6b30f78">
      <Terms xmlns="http://schemas.microsoft.com/office/infopath/2007/PartnerControls"/>
    </lcf76f155ced4ddcb4097134ff3c332f>
    <Dateandtime xmlns="9464be75-fc0f-4c74-b7a9-67e6b6b30f78">2023-08-09T18:00:00+00:00</Dateandtime>
    <Person xmlns="9464be75-fc0f-4c74-b7a9-67e6b6b30f78">
      <UserInfo>
        <DisplayName/>
        <AccountId xsi:nil="true"/>
        <AccountType/>
      </UserInfo>
    </Person>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C9F4D4AED8BDC44AAAD872D46454869" ma:contentTypeVersion="24" ma:contentTypeDescription="Create a new document." ma:contentTypeScope="" ma:versionID="a8e705c6c9031e1baca0d31f8f36d224">
  <xsd:schema xmlns:xsd="http://www.w3.org/2001/XMLSchema" xmlns:xs="http://www.w3.org/2001/XMLSchema" xmlns:p="http://schemas.microsoft.com/office/2006/metadata/properties" xmlns:ns2="47019a7e-a60c-4a1f-b4fd-44452cf97621" xmlns:ns3="9464be75-fc0f-4c74-b7a9-67e6b6b30f78" targetNamespace="http://schemas.microsoft.com/office/2006/metadata/properties" ma:root="true" ma:fieldsID="5abefe54e5205c5bf847d84bb4e88f0a" ns2:_="" ns3:_="">
    <xsd:import namespace="47019a7e-a60c-4a1f-b4fd-44452cf97621"/>
    <xsd:import namespace="9464be75-fc0f-4c74-b7a9-67e6b6b30f7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element ref="ns3:_Flow_SignoffStatus" minOccurs="0"/>
                <xsd:element ref="ns3:Dateandtime" minOccurs="0"/>
                <xsd:element ref="ns3:MediaLengthInSeconds" minOccurs="0"/>
                <xsd:element ref="ns3:Person" minOccurs="0"/>
                <xsd:element ref="ns3:Date_x0020__x0026__x0020_Time" minOccurs="0"/>
                <xsd:element ref="ns2:TaxCatchAll" minOccurs="0"/>
                <xsd:element ref="ns3:lcf76f155ced4ddcb4097134ff3c332f"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019a7e-a60c-4a1f-b4fd-44452cf9762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0c40076c-e6fb-4d57-baf1-f991dbe98c27}" ma:internalName="TaxCatchAll" ma:showField="CatchAllData" ma:web="47019a7e-a60c-4a1f-b4fd-44452cf9762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464be75-fc0f-4c74-b7a9-67e6b6b30f7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Dateandtime" ma:index="21" nillable="true" ma:displayName="Date and time" ma:format="DateTime" ma:internalName="Dateandtime">
      <xsd:simpleType>
        <xsd:restriction base="dms:DateTime"/>
      </xsd:simpleType>
    </xsd:element>
    <xsd:element name="MediaLengthInSeconds" ma:index="22" nillable="true" ma:displayName="Length (seconds)" ma:internalName="MediaLengthInSeconds" ma:readOnly="true">
      <xsd:simpleType>
        <xsd:restriction base="dms:Unknown"/>
      </xsd:simpleType>
    </xsd:element>
    <xsd:element name="Person" ma:index="23"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_x0020__x0026__x0020_Time" ma:index="24" nillable="true" ma:displayName="Date &amp; Time" ma:format="DateTime" ma:internalName="Date_x0020__x0026__x0020_Time">
      <xsd:simpleType>
        <xsd:restriction base="dms:DateTim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8a19ee54-46e1-4f28-9254-181b3d6e147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75F6A4-AC1A-4E35-A289-E59D1E414368}">
  <ds:schemaRefs>
    <ds:schemaRef ds:uri="http://schemas.microsoft.com/office/2006/metadata/properties"/>
    <ds:schemaRef ds:uri="http://schemas.microsoft.com/office/infopath/2007/PartnerControls"/>
    <ds:schemaRef ds:uri="9464be75-fc0f-4c74-b7a9-67e6b6b30f78"/>
    <ds:schemaRef ds:uri="47019a7e-a60c-4a1f-b4fd-44452cf97621"/>
  </ds:schemaRefs>
</ds:datastoreItem>
</file>

<file path=customXml/itemProps2.xml><?xml version="1.0" encoding="utf-8"?>
<ds:datastoreItem xmlns:ds="http://schemas.openxmlformats.org/officeDocument/2006/customXml" ds:itemID="{47E810C8-2769-4C7B-939D-4F16E08F60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019a7e-a60c-4a1f-b4fd-44452cf97621"/>
    <ds:schemaRef ds:uri="9464be75-fc0f-4c74-b7a9-67e6b6b30f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414413-BC48-4F65-8D86-7536D623E8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Detailed Tactics and Costs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Westlund, Jinnah</dc:creator>
  <cp:keywords/>
  <dc:description/>
  <cp:lastModifiedBy>Deb Pias</cp:lastModifiedBy>
  <cp:revision/>
  <dcterms:created xsi:type="dcterms:W3CDTF">2014-11-25T15:42:55Z</dcterms:created>
  <dcterms:modified xsi:type="dcterms:W3CDTF">2023-12-20T17:52:24Z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0x010100BC9F4D4AED8BDC44AAAD872D46454869</vt:lpwstr>
  </property>
  <property fmtid="{D5CDD505-2E9C-101B-9397-08002B2CF9AE}" pid="3" name="MediaServiceImageTags">
    <vt:lpwstr/>
  </property>
</Properties>
</file>