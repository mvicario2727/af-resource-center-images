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ate1904="1"/>
  <mc:AlternateContent xmlns:mc="http://schemas.openxmlformats.org/markup-compatibility/2006">
    <mc:Choice Requires="x15">
      <x15ac:absPath xmlns:x15ac="http://schemas.microsoft.com/office/spreadsheetml/2010/11/ac" url="/Users/dpias/Desktop/"/>
    </mc:Choice>
  </mc:AlternateContent>
  <xr:revisionPtr revIDLastSave="0" documentId="13_ncr:1_{FDBCAE83-96C7-9348-91CC-CBC1998FA529}" xr6:coauthVersionLast="43" xr6:coauthVersionMax="43" xr10:uidLastSave="{00000000-0000-0000-0000-000000000000}"/>
  <bookViews>
    <workbookView xWindow="0" yWindow="460" windowWidth="23040" windowHeight="9980" tabRatio="222" activeTab="1" xr2:uid="{00000000-000D-0000-FFFF-FFFF00000000}"/>
  </bookViews>
  <sheets>
    <sheet name="Macro1" sheetId="2" state="hidden" r:id="rId1"/>
    <sheet name="AF Projections" sheetId="1" r:id="rId2"/>
  </sheets>
  <definedNames>
    <definedName name="_xlnm.Print_Area" localSheetId="1">'AF Projections'!$A$1:$N$145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1" l="1"/>
  <c r="C56" i="1"/>
  <c r="C57" i="1" s="1"/>
  <c r="B57" i="1"/>
  <c r="C54" i="1"/>
  <c r="B53" i="1"/>
  <c r="B54" i="1" s="1"/>
  <c r="C92" i="1"/>
  <c r="D67" i="1"/>
  <c r="E67" i="1"/>
  <c r="F67" i="1"/>
  <c r="G67" i="1"/>
  <c r="H67" i="1"/>
  <c r="I67" i="1"/>
  <c r="J67" i="1"/>
  <c r="K67" i="1"/>
  <c r="L67" i="1"/>
  <c r="M67" i="1"/>
  <c r="N67" i="1"/>
  <c r="C67" i="1"/>
  <c r="D64" i="1"/>
  <c r="E64" i="1"/>
  <c r="F64" i="1"/>
  <c r="G64" i="1"/>
  <c r="H64" i="1"/>
  <c r="I64" i="1"/>
  <c r="J64" i="1"/>
  <c r="K64" i="1"/>
  <c r="L64" i="1"/>
  <c r="M64" i="1"/>
  <c r="N64" i="1"/>
  <c r="C64" i="1"/>
  <c r="D117" i="1"/>
  <c r="E117" i="1"/>
  <c r="F117" i="1"/>
  <c r="G117" i="1"/>
  <c r="H117" i="1"/>
  <c r="I117" i="1"/>
  <c r="J117" i="1"/>
  <c r="K117" i="1"/>
  <c r="L117" i="1"/>
  <c r="M117" i="1"/>
  <c r="N117" i="1"/>
  <c r="C117" i="1"/>
  <c r="C89" i="1"/>
  <c r="D114" i="1"/>
  <c r="E114" i="1"/>
  <c r="F114" i="1"/>
  <c r="G114" i="1"/>
  <c r="H114" i="1"/>
  <c r="I114" i="1"/>
  <c r="J114" i="1"/>
  <c r="K114" i="1"/>
  <c r="L114" i="1"/>
  <c r="M114" i="1"/>
  <c r="N114" i="1"/>
  <c r="C114" i="1"/>
  <c r="D92" i="1"/>
  <c r="E92" i="1"/>
  <c r="F92" i="1"/>
  <c r="G92" i="1"/>
  <c r="H92" i="1"/>
  <c r="I92" i="1"/>
  <c r="J92" i="1"/>
  <c r="K92" i="1"/>
  <c r="L92" i="1"/>
  <c r="M92" i="1"/>
  <c r="N92" i="1"/>
  <c r="D56" i="1"/>
  <c r="E56" i="1"/>
  <c r="D89" i="1"/>
  <c r="E89" i="1"/>
  <c r="F89" i="1"/>
  <c r="G89" i="1"/>
  <c r="H89" i="1"/>
  <c r="I89" i="1"/>
  <c r="J89" i="1"/>
  <c r="K89" i="1"/>
  <c r="L89" i="1"/>
  <c r="M89" i="1"/>
  <c r="N89" i="1"/>
  <c r="C80" i="1"/>
  <c r="C77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D77" i="1"/>
  <c r="E77" i="1"/>
  <c r="F77" i="1"/>
  <c r="G77" i="1"/>
  <c r="H77" i="1"/>
  <c r="I77" i="1"/>
  <c r="J77" i="1"/>
  <c r="K77" i="1"/>
  <c r="L77" i="1"/>
  <c r="M77" i="1"/>
  <c r="N77" i="1"/>
  <c r="D80" i="1"/>
  <c r="E80" i="1"/>
  <c r="F80" i="1"/>
  <c r="G80" i="1"/>
  <c r="H80" i="1"/>
  <c r="I80" i="1"/>
  <c r="J80" i="1"/>
  <c r="K80" i="1"/>
  <c r="L80" i="1"/>
  <c r="M80" i="1"/>
  <c r="N80" i="1"/>
  <c r="D54" i="1"/>
  <c r="E54" i="1"/>
  <c r="F54" i="1"/>
  <c r="G54" i="1"/>
  <c r="H54" i="1"/>
  <c r="I54" i="1"/>
  <c r="J54" i="1"/>
  <c r="K54" i="1"/>
  <c r="L54" i="1"/>
  <c r="M54" i="1"/>
  <c r="N54" i="1"/>
  <c r="N56" i="1"/>
  <c r="F56" i="1"/>
  <c r="G56" i="1"/>
  <c r="H56" i="1"/>
  <c r="I56" i="1"/>
  <c r="J56" i="1"/>
  <c r="K56" i="1"/>
  <c r="L56" i="1"/>
  <c r="M56" i="1"/>
  <c r="J95" i="1"/>
  <c r="M95" i="1"/>
  <c r="K95" i="1"/>
  <c r="C120" i="1"/>
  <c r="M120" i="1"/>
  <c r="F95" i="1"/>
  <c r="H95" i="1"/>
  <c r="L95" i="1"/>
  <c r="L120" i="1"/>
  <c r="M70" i="1"/>
  <c r="J70" i="1"/>
  <c r="E95" i="1"/>
  <c r="E120" i="1"/>
  <c r="N120" i="1"/>
  <c r="F70" i="1"/>
  <c r="G95" i="1"/>
  <c r="G120" i="1"/>
  <c r="N95" i="1"/>
  <c r="I95" i="1"/>
  <c r="D95" i="1"/>
  <c r="I120" i="1"/>
  <c r="H120" i="1"/>
  <c r="F120" i="1"/>
  <c r="K120" i="1"/>
  <c r="E70" i="1"/>
  <c r="L70" i="1"/>
  <c r="J120" i="1"/>
  <c r="D120" i="1"/>
  <c r="N70" i="1"/>
  <c r="D70" i="1"/>
  <c r="K70" i="1"/>
  <c r="C70" i="1"/>
  <c r="G70" i="1"/>
  <c r="H70" i="1"/>
  <c r="C95" i="1"/>
  <c r="I70" i="1"/>
  <c r="B64" i="1"/>
  <c r="B55" i="1" l="1"/>
  <c r="C55" i="1" s="1"/>
  <c r="C58" i="1" s="1"/>
  <c r="B60" i="1"/>
  <c r="B65" i="1" s="1"/>
  <c r="B72" i="1" s="1"/>
  <c r="B73" i="1" s="1"/>
  <c r="B58" i="1"/>
  <c r="C60" i="1"/>
  <c r="D57" i="1"/>
  <c r="C63" i="1" l="1"/>
  <c r="C69" i="1"/>
  <c r="C62" i="1"/>
  <c r="C59" i="1"/>
  <c r="C61" i="1" s="1"/>
  <c r="D55" i="1"/>
  <c r="D60" i="1"/>
  <c r="E57" i="1"/>
  <c r="D58" i="1"/>
  <c r="D62" i="1" l="1"/>
  <c r="D69" i="1"/>
  <c r="D63" i="1"/>
  <c r="C65" i="1"/>
  <c r="C66" i="1"/>
  <c r="C68" i="1"/>
  <c r="E60" i="1"/>
  <c r="E58" i="1"/>
  <c r="F57" i="1"/>
  <c r="D59" i="1"/>
  <c r="D61" i="1" s="1"/>
  <c r="E55" i="1"/>
  <c r="C71" i="1" l="1"/>
  <c r="C72" i="1" s="1"/>
  <c r="C73" i="1" s="1"/>
  <c r="G57" i="1"/>
  <c r="F60" i="1"/>
  <c r="E63" i="1"/>
  <c r="E62" i="1"/>
  <c r="E69" i="1"/>
  <c r="E59" i="1"/>
  <c r="E61" i="1" s="1"/>
  <c r="F55" i="1"/>
  <c r="D68" i="1"/>
  <c r="D66" i="1"/>
  <c r="D65" i="1"/>
  <c r="F59" i="1" l="1"/>
  <c r="F61" i="1" s="1"/>
  <c r="G55" i="1"/>
  <c r="E66" i="1"/>
  <c r="E68" i="1"/>
  <c r="E65" i="1"/>
  <c r="F58" i="1"/>
  <c r="D71" i="1"/>
  <c r="D72" i="1" s="1"/>
  <c r="D73" i="1" s="1"/>
  <c r="G58" i="1"/>
  <c r="G60" i="1"/>
  <c r="H57" i="1"/>
  <c r="G63" i="1" l="1"/>
  <c r="G62" i="1"/>
  <c r="G69" i="1"/>
  <c r="E71" i="1"/>
  <c r="E72" i="1" s="1"/>
  <c r="E73" i="1" s="1"/>
  <c r="I57" i="1"/>
  <c r="H60" i="1"/>
  <c r="F62" i="1"/>
  <c r="F65" i="1" s="1"/>
  <c r="F69" i="1"/>
  <c r="F63" i="1"/>
  <c r="G59" i="1"/>
  <c r="G61" i="1" s="1"/>
  <c r="H55" i="1"/>
  <c r="F68" i="1"/>
  <c r="F66" i="1"/>
  <c r="F71" i="1" l="1"/>
  <c r="I55" i="1"/>
  <c r="H59" i="1"/>
  <c r="H61" i="1" s="1"/>
  <c r="G65" i="1"/>
  <c r="G68" i="1"/>
  <c r="G66" i="1"/>
  <c r="J57" i="1"/>
  <c r="I58" i="1"/>
  <c r="I60" i="1"/>
  <c r="F72" i="1"/>
  <c r="F73" i="1" s="1"/>
  <c r="H58" i="1"/>
  <c r="I62" i="1" l="1"/>
  <c r="I63" i="1"/>
  <c r="I69" i="1"/>
  <c r="H62" i="1"/>
  <c r="H63" i="1"/>
  <c r="H66" i="1" s="1"/>
  <c r="H69" i="1"/>
  <c r="J60" i="1"/>
  <c r="K57" i="1"/>
  <c r="H68" i="1"/>
  <c r="G71" i="1"/>
  <c r="G72" i="1" s="1"/>
  <c r="G73" i="1" s="1"/>
  <c r="I59" i="1"/>
  <c r="I61" i="1" s="1"/>
  <c r="J55" i="1"/>
  <c r="H65" i="1" l="1"/>
  <c r="J59" i="1"/>
  <c r="J61" i="1" s="1"/>
  <c r="K55" i="1"/>
  <c r="K58" i="1" s="1"/>
  <c r="I65" i="1"/>
  <c r="I66" i="1"/>
  <c r="I68" i="1"/>
  <c r="J58" i="1"/>
  <c r="H71" i="1"/>
  <c r="H72" i="1" s="1"/>
  <c r="H73" i="1" s="1"/>
  <c r="K60" i="1"/>
  <c r="L57" i="1"/>
  <c r="I71" i="1" l="1"/>
  <c r="I72" i="1" s="1"/>
  <c r="I73" i="1" s="1"/>
  <c r="K63" i="1"/>
  <c r="K69" i="1"/>
  <c r="K62" i="1"/>
  <c r="L60" i="1"/>
  <c r="M57" i="1"/>
  <c r="J62" i="1"/>
  <c r="J65" i="1" s="1"/>
  <c r="J63" i="1"/>
  <c r="J69" i="1"/>
  <c r="L55" i="1"/>
  <c r="K59" i="1"/>
  <c r="K61" i="1" s="1"/>
  <c r="J68" i="1"/>
  <c r="J66" i="1"/>
  <c r="J71" i="1" s="1"/>
  <c r="J72" i="1" l="1"/>
  <c r="J73" i="1" s="1"/>
  <c r="L59" i="1"/>
  <c r="L61" i="1" s="1"/>
  <c r="M55" i="1"/>
  <c r="M58" i="1" s="1"/>
  <c r="M60" i="1"/>
  <c r="N57" i="1"/>
  <c r="L58" i="1"/>
  <c r="K66" i="1"/>
  <c r="K71" i="1" s="1"/>
  <c r="K68" i="1"/>
  <c r="K65" i="1"/>
  <c r="M62" i="1" l="1"/>
  <c r="M63" i="1"/>
  <c r="M69" i="1"/>
  <c r="M59" i="1"/>
  <c r="M61" i="1" s="1"/>
  <c r="N55" i="1"/>
  <c r="K72" i="1"/>
  <c r="K73" i="1" s="1"/>
  <c r="N58" i="1"/>
  <c r="C81" i="1"/>
  <c r="C82" i="1" s="1"/>
  <c r="N60" i="1"/>
  <c r="L68" i="1"/>
  <c r="L69" i="1"/>
  <c r="L63" i="1"/>
  <c r="L66" i="1" s="1"/>
  <c r="L62" i="1"/>
  <c r="L65" i="1" s="1"/>
  <c r="L71" i="1" l="1"/>
  <c r="L72" i="1" s="1"/>
  <c r="D81" i="1"/>
  <c r="D82" i="1" s="1"/>
  <c r="C85" i="1"/>
  <c r="M65" i="1"/>
  <c r="M68" i="1"/>
  <c r="M66" i="1"/>
  <c r="M71" i="1" s="1"/>
  <c r="N69" i="1"/>
  <c r="N63" i="1"/>
  <c r="N62" i="1"/>
  <c r="L73" i="1"/>
  <c r="N59" i="1"/>
  <c r="N61" i="1" s="1"/>
  <c r="C78" i="1"/>
  <c r="C79" i="1" s="1"/>
  <c r="E81" i="1" l="1"/>
  <c r="D85" i="1"/>
  <c r="E82" i="1"/>
  <c r="C84" i="1"/>
  <c r="C86" i="1" s="1"/>
  <c r="D78" i="1"/>
  <c r="D79" i="1"/>
  <c r="C83" i="1"/>
  <c r="N65" i="1"/>
  <c r="N66" i="1"/>
  <c r="N68" i="1"/>
  <c r="M72" i="1"/>
  <c r="M73" i="1" s="1"/>
  <c r="F81" i="1" l="1"/>
  <c r="F82" i="1"/>
  <c r="E85" i="1"/>
  <c r="N71" i="1"/>
  <c r="N72" i="1" s="1"/>
  <c r="N73" i="1" s="1"/>
  <c r="E78" i="1"/>
  <c r="E79" i="1" s="1"/>
  <c r="D84" i="1"/>
  <c r="D86" i="1" s="1"/>
  <c r="D83" i="1"/>
  <c r="C87" i="1"/>
  <c r="C90" i="1" s="1"/>
  <c r="C94" i="1"/>
  <c r="C88" i="1"/>
  <c r="C91" i="1" s="1"/>
  <c r="C93" i="1"/>
  <c r="C96" i="1" l="1"/>
  <c r="E84" i="1"/>
  <c r="E86" i="1" s="1"/>
  <c r="F78" i="1"/>
  <c r="F79" i="1"/>
  <c r="E83" i="1"/>
  <c r="F85" i="1"/>
  <c r="G81" i="1"/>
  <c r="G82" i="1" s="1"/>
  <c r="C97" i="1"/>
  <c r="C98" i="1" s="1"/>
  <c r="D94" i="1"/>
  <c r="D87" i="1"/>
  <c r="D88" i="1"/>
  <c r="D91" i="1" s="1"/>
  <c r="D93" i="1"/>
  <c r="D96" i="1" l="1"/>
  <c r="D90" i="1"/>
  <c r="D97" i="1" s="1"/>
  <c r="D98" i="1" s="1"/>
  <c r="F84" i="1"/>
  <c r="F86" i="1" s="1"/>
  <c r="G78" i="1"/>
  <c r="G79" i="1" s="1"/>
  <c r="H81" i="1"/>
  <c r="H82" i="1" s="1"/>
  <c r="G85" i="1"/>
  <c r="F83" i="1"/>
  <c r="E91" i="1"/>
  <c r="E93" i="1"/>
  <c r="E94" i="1"/>
  <c r="E88" i="1"/>
  <c r="E87" i="1"/>
  <c r="E90" i="1" s="1"/>
  <c r="E96" i="1" l="1"/>
  <c r="E97" i="1" s="1"/>
  <c r="E98" i="1" s="1"/>
  <c r="F93" i="1"/>
  <c r="G84" i="1"/>
  <c r="G86" i="1" s="1"/>
  <c r="H78" i="1"/>
  <c r="H79" i="1" s="1"/>
  <c r="F88" i="1"/>
  <c r="F91" i="1" s="1"/>
  <c r="F94" i="1"/>
  <c r="F87" i="1"/>
  <c r="G83" i="1"/>
  <c r="H85" i="1"/>
  <c r="I81" i="1"/>
  <c r="I82" i="1" s="1"/>
  <c r="F96" i="1" l="1"/>
  <c r="F90" i="1"/>
  <c r="I79" i="1"/>
  <c r="I83" i="1" s="1"/>
  <c r="I78" i="1"/>
  <c r="H84" i="1"/>
  <c r="H86" i="1" s="1"/>
  <c r="H83" i="1"/>
  <c r="F97" i="1"/>
  <c r="J81" i="1"/>
  <c r="J82" i="1" s="1"/>
  <c r="I85" i="1"/>
  <c r="G87" i="1"/>
  <c r="G88" i="1"/>
  <c r="G91" i="1" s="1"/>
  <c r="G94" i="1"/>
  <c r="G93" i="1"/>
  <c r="F98" i="1"/>
  <c r="G96" i="1" l="1"/>
  <c r="G90" i="1"/>
  <c r="I88" i="1"/>
  <c r="I94" i="1"/>
  <c r="I87" i="1"/>
  <c r="H94" i="1"/>
  <c r="H87" i="1"/>
  <c r="H88" i="1"/>
  <c r="H91" i="1" s="1"/>
  <c r="H96" i="1" s="1"/>
  <c r="K81" i="1"/>
  <c r="K82" i="1" s="1"/>
  <c r="J85" i="1"/>
  <c r="H93" i="1"/>
  <c r="G97" i="1"/>
  <c r="G98" i="1" s="1"/>
  <c r="I84" i="1"/>
  <c r="I86" i="1" s="1"/>
  <c r="J78" i="1"/>
  <c r="J79" i="1" s="1"/>
  <c r="J83" i="1" s="1"/>
  <c r="H90" i="1" l="1"/>
  <c r="H97" i="1" s="1"/>
  <c r="H98" i="1" s="1"/>
  <c r="J87" i="1"/>
  <c r="J94" i="1"/>
  <c r="J88" i="1"/>
  <c r="L81" i="1"/>
  <c r="L82" i="1" s="1"/>
  <c r="K85" i="1"/>
  <c r="J84" i="1"/>
  <c r="J86" i="1" s="1"/>
  <c r="K78" i="1"/>
  <c r="K79" i="1" s="1"/>
  <c r="I93" i="1"/>
  <c r="I91" i="1"/>
  <c r="I90" i="1"/>
  <c r="I96" i="1" l="1"/>
  <c r="I97" i="1" s="1"/>
  <c r="I98" i="1" s="1"/>
  <c r="L78" i="1"/>
  <c r="L79" i="1" s="1"/>
  <c r="L83" i="1" s="1"/>
  <c r="K84" i="1"/>
  <c r="K86" i="1" s="1"/>
  <c r="K83" i="1"/>
  <c r="L85" i="1"/>
  <c r="M81" i="1"/>
  <c r="M82" i="1"/>
  <c r="J93" i="1"/>
  <c r="J91" i="1"/>
  <c r="J96" i="1" s="1"/>
  <c r="J90" i="1"/>
  <c r="N81" i="1" l="1"/>
  <c r="M85" i="1"/>
  <c r="N82" i="1"/>
  <c r="J97" i="1"/>
  <c r="J98" i="1" s="1"/>
  <c r="K93" i="1"/>
  <c r="K88" i="1"/>
  <c r="K91" i="1" s="1"/>
  <c r="K96" i="1" s="1"/>
  <c r="K94" i="1"/>
  <c r="K87" i="1"/>
  <c r="L94" i="1"/>
  <c r="L87" i="1"/>
  <c r="L88" i="1"/>
  <c r="M78" i="1"/>
  <c r="L84" i="1"/>
  <c r="L86" i="1" s="1"/>
  <c r="M79" i="1"/>
  <c r="M83" i="1" s="1"/>
  <c r="K90" i="1" l="1"/>
  <c r="M94" i="1"/>
  <c r="M88" i="1"/>
  <c r="M87" i="1"/>
  <c r="K97" i="1"/>
  <c r="K98" i="1" s="1"/>
  <c r="N85" i="1"/>
  <c r="C106" i="1"/>
  <c r="C107" i="1" s="1"/>
  <c r="L90" i="1"/>
  <c r="L91" i="1"/>
  <c r="L93" i="1"/>
  <c r="M84" i="1"/>
  <c r="M86" i="1" s="1"/>
  <c r="N78" i="1"/>
  <c r="N79" i="1" s="1"/>
  <c r="D106" i="1" l="1"/>
  <c r="D107" i="1" s="1"/>
  <c r="C110" i="1"/>
  <c r="N84" i="1"/>
  <c r="N86" i="1" s="1"/>
  <c r="C103" i="1"/>
  <c r="C104" i="1"/>
  <c r="L96" i="1"/>
  <c r="L97" i="1" s="1"/>
  <c r="L98" i="1" s="1"/>
  <c r="N83" i="1"/>
  <c r="M93" i="1"/>
  <c r="M91" i="1"/>
  <c r="M96" i="1" s="1"/>
  <c r="M90" i="1"/>
  <c r="D103" i="1" l="1"/>
  <c r="D104" i="1"/>
  <c r="C109" i="1"/>
  <c r="C111" i="1" s="1"/>
  <c r="E106" i="1"/>
  <c r="E107" i="1"/>
  <c r="D110" i="1"/>
  <c r="N88" i="1"/>
  <c r="N91" i="1" s="1"/>
  <c r="N94" i="1"/>
  <c r="N87" i="1"/>
  <c r="N93" i="1"/>
  <c r="M97" i="1"/>
  <c r="M98" i="1" s="1"/>
  <c r="C108" i="1"/>
  <c r="N90" i="1" l="1"/>
  <c r="C118" i="1"/>
  <c r="E110" i="1"/>
  <c r="F106" i="1"/>
  <c r="F107" i="1"/>
  <c r="D109" i="1"/>
  <c r="D111" i="1" s="1"/>
  <c r="E103" i="1"/>
  <c r="E104" i="1"/>
  <c r="C119" i="1"/>
  <c r="C113" i="1"/>
  <c r="C115" i="1" s="1"/>
  <c r="C112" i="1"/>
  <c r="N96" i="1"/>
  <c r="N97" i="1" s="1"/>
  <c r="N98" i="1" s="1"/>
  <c r="D108" i="1"/>
  <c r="C116" i="1" l="1"/>
  <c r="C121" i="1" s="1"/>
  <c r="C122" i="1" s="1"/>
  <c r="C123" i="1" s="1"/>
  <c r="D119" i="1"/>
  <c r="D113" i="1"/>
  <c r="D116" i="1" s="1"/>
  <c r="D112" i="1"/>
  <c r="D115" i="1" s="1"/>
  <c r="F110" i="1"/>
  <c r="G106" i="1"/>
  <c r="G107" i="1"/>
  <c r="F103" i="1"/>
  <c r="F104" i="1" s="1"/>
  <c r="E109" i="1"/>
  <c r="E111" i="1" s="1"/>
  <c r="D118" i="1"/>
  <c r="E108" i="1"/>
  <c r="D121" i="1" l="1"/>
  <c r="D122" i="1" s="1"/>
  <c r="D123" i="1" s="1"/>
  <c r="G103" i="1"/>
  <c r="G104" i="1" s="1"/>
  <c r="F109" i="1"/>
  <c r="F111" i="1" s="1"/>
  <c r="F108" i="1"/>
  <c r="H106" i="1"/>
  <c r="H107" i="1" s="1"/>
  <c r="G110" i="1"/>
  <c r="E118" i="1"/>
  <c r="E113" i="1"/>
  <c r="E116" i="1" s="1"/>
  <c r="E119" i="1"/>
  <c r="E112" i="1"/>
  <c r="E115" i="1" s="1"/>
  <c r="E121" i="1" l="1"/>
  <c r="H103" i="1"/>
  <c r="H104" i="1" s="1"/>
  <c r="G109" i="1"/>
  <c r="G111" i="1" s="1"/>
  <c r="G108" i="1"/>
  <c r="H110" i="1"/>
  <c r="I106" i="1"/>
  <c r="I107" i="1" s="1"/>
  <c r="F118" i="1"/>
  <c r="E122" i="1"/>
  <c r="E123" i="1" s="1"/>
  <c r="F113" i="1"/>
  <c r="F116" i="1" s="1"/>
  <c r="F112" i="1"/>
  <c r="F119" i="1"/>
  <c r="F121" i="1" l="1"/>
  <c r="F115" i="1"/>
  <c r="F122" i="1" s="1"/>
  <c r="F123" i="1" s="1"/>
  <c r="I110" i="1"/>
  <c r="J106" i="1"/>
  <c r="J107" i="1"/>
  <c r="I103" i="1"/>
  <c r="I104" i="1"/>
  <c r="H109" i="1"/>
  <c r="H111" i="1" s="1"/>
  <c r="H108" i="1"/>
  <c r="G118" i="1"/>
  <c r="G112" i="1"/>
  <c r="G119" i="1"/>
  <c r="G113" i="1"/>
  <c r="G116" i="1" s="1"/>
  <c r="G121" i="1" l="1"/>
  <c r="J110" i="1"/>
  <c r="K106" i="1"/>
  <c r="K107" i="1"/>
  <c r="I109" i="1"/>
  <c r="I111" i="1" s="1"/>
  <c r="J103" i="1"/>
  <c r="J104" i="1" s="1"/>
  <c r="G115" i="1"/>
  <c r="G122" i="1" s="1"/>
  <c r="G123" i="1" s="1"/>
  <c r="H118" i="1"/>
  <c r="H119" i="1"/>
  <c r="H113" i="1"/>
  <c r="H116" i="1" s="1"/>
  <c r="H121" i="1" s="1"/>
  <c r="H112" i="1"/>
  <c r="I108" i="1"/>
  <c r="H115" i="1" l="1"/>
  <c r="H122" i="1" s="1"/>
  <c r="H123" i="1" s="1"/>
  <c r="J109" i="1"/>
  <c r="J111" i="1" s="1"/>
  <c r="K103" i="1"/>
  <c r="K104" i="1" s="1"/>
  <c r="J108" i="1"/>
  <c r="K110" i="1"/>
  <c r="L106" i="1"/>
  <c r="L107" i="1" s="1"/>
  <c r="I119" i="1"/>
  <c r="I113" i="1"/>
  <c r="I116" i="1" s="1"/>
  <c r="I121" i="1" s="1"/>
  <c r="I112" i="1"/>
  <c r="I118" i="1"/>
  <c r="I115" i="1" l="1"/>
  <c r="I122" i="1" s="1"/>
  <c r="I123" i="1" s="1"/>
  <c r="M106" i="1"/>
  <c r="M107" i="1"/>
  <c r="L110" i="1"/>
  <c r="L103" i="1"/>
  <c r="L104" i="1" s="1"/>
  <c r="K109" i="1"/>
  <c r="K111" i="1" s="1"/>
  <c r="K108" i="1"/>
  <c r="J118" i="1"/>
  <c r="J116" i="1"/>
  <c r="J112" i="1"/>
  <c r="J113" i="1"/>
  <c r="J119" i="1"/>
  <c r="J115" i="1" l="1"/>
  <c r="J121" i="1"/>
  <c r="J122" i="1" s="1"/>
  <c r="J123" i="1" s="1"/>
  <c r="L109" i="1"/>
  <c r="L111" i="1" s="1"/>
  <c r="M103" i="1"/>
  <c r="M104" i="1" s="1"/>
  <c r="L108" i="1"/>
  <c r="K119" i="1"/>
  <c r="K112" i="1"/>
  <c r="K113" i="1"/>
  <c r="K116" i="1" s="1"/>
  <c r="K118" i="1"/>
  <c r="M110" i="1"/>
  <c r="N106" i="1"/>
  <c r="N107" i="1" s="1"/>
  <c r="K121" i="1" l="1"/>
  <c r="M109" i="1"/>
  <c r="M111" i="1" s="1"/>
  <c r="N103" i="1"/>
  <c r="N104" i="1" s="1"/>
  <c r="M108" i="1"/>
  <c r="N110" i="1"/>
  <c r="L119" i="1"/>
  <c r="L112" i="1"/>
  <c r="L115" i="1" s="1"/>
  <c r="L113" i="1"/>
  <c r="L116" i="1" s="1"/>
  <c r="L121" i="1" s="1"/>
  <c r="K115" i="1"/>
  <c r="K122" i="1" s="1"/>
  <c r="K123" i="1" s="1"/>
  <c r="L118" i="1"/>
  <c r="L122" i="1" l="1"/>
  <c r="L123" i="1" s="1"/>
  <c r="N109" i="1"/>
  <c r="N111" i="1" s="1"/>
  <c r="N108" i="1"/>
  <c r="M118" i="1"/>
  <c r="M113" i="1"/>
  <c r="M116" i="1" s="1"/>
  <c r="M112" i="1"/>
  <c r="M119" i="1"/>
  <c r="M115" i="1" l="1"/>
  <c r="M121" i="1"/>
  <c r="N119" i="1"/>
  <c r="N113" i="1"/>
  <c r="N116" i="1" s="1"/>
  <c r="N112" i="1"/>
  <c r="N118" i="1"/>
  <c r="N121" i="1" l="1"/>
  <c r="M122" i="1"/>
  <c r="M123" i="1" s="1"/>
  <c r="N123" i="1" s="1"/>
  <c r="N115" i="1"/>
  <c r="N122" i="1" s="1"/>
</calcChain>
</file>

<file path=xl/sharedStrings.xml><?xml version="1.0" encoding="utf-8"?>
<sst xmlns="http://schemas.openxmlformats.org/spreadsheetml/2006/main" count="157" uniqueCount="109">
  <si>
    <t>Cumulative Results</t>
  </si>
  <si>
    <t>Estimated Expenses</t>
  </si>
  <si>
    <t>NOTE:  All information contained in this document is for example only. Revenue and expense figures may vary significantly based on numerous factors.</t>
  </si>
  <si>
    <t>Total Revenues</t>
  </si>
  <si>
    <t>Pre-Tax earnings</t>
  </si>
  <si>
    <t>Royalties</t>
  </si>
  <si>
    <t>Rent</t>
  </si>
  <si>
    <t>DESCRIPTION</t>
  </si>
  <si>
    <t>Fixed Costs</t>
  </si>
  <si>
    <t>Cost</t>
  </si>
  <si>
    <t>TOTAL FIXED COSTS</t>
  </si>
  <si>
    <t>YEAR 1</t>
  </si>
  <si>
    <t>YEAR 2</t>
  </si>
  <si>
    <t>Insurance</t>
  </si>
  <si>
    <t>Payroll</t>
  </si>
  <si>
    <t>(1) Payment processing</t>
  </si>
  <si>
    <t># of months Rent Abatement</t>
  </si>
  <si>
    <t>Down Payment at Club</t>
  </si>
  <si>
    <t xml:space="preserve">Total Membership Rev </t>
  </si>
  <si>
    <t>Presale Members</t>
  </si>
  <si>
    <t>Recur Single Memb Rev</t>
  </si>
  <si>
    <t>Presale</t>
  </si>
  <si>
    <t>In $</t>
  </si>
  <si>
    <t>(5) Utilities</t>
  </si>
  <si>
    <t>(6) Single Members</t>
  </si>
  <si>
    <t>YEAR 3</t>
  </si>
  <si>
    <t>Advertising (General)</t>
  </si>
  <si>
    <t>Anytime Fitness, LLC</t>
  </si>
  <si>
    <t>Phone: 1-800-704-5004</t>
  </si>
  <si>
    <t>Minnesota Franchise #4424</t>
  </si>
  <si>
    <t>For New York Residents: This advertisement is not an offering. An offering can only be made by prospectus first</t>
  </si>
  <si>
    <t>filled with the department of Law of the State of New York. Such filing does not constitute approval by the department of law.</t>
  </si>
  <si>
    <t>Bad Debt</t>
  </si>
  <si>
    <t>**Maintenance</t>
  </si>
  <si>
    <t>**Healthy Contributions</t>
  </si>
  <si>
    <t>**(3) Miscellaneous</t>
  </si>
  <si>
    <t>Enrollment fee</t>
  </si>
  <si>
    <t>Enrollment Fees</t>
  </si>
  <si>
    <t>Monthly New Members</t>
  </si>
  <si>
    <t>(7) Personal Training Net Revenues</t>
  </si>
  <si>
    <t>Pay Per Visit "PPV" Members</t>
  </si>
  <si>
    <t>(2) Proximity Cards</t>
  </si>
  <si>
    <r>
      <rPr>
        <sz val="11"/>
        <rFont val="Arial"/>
        <family val="2"/>
      </rPr>
      <t>(4)</t>
    </r>
    <r>
      <rPr>
        <b/>
        <sz val="11"/>
        <rFont val="Arial"/>
        <family val="2"/>
      </rPr>
      <t xml:space="preserve"> Expense</t>
    </r>
  </si>
  <si>
    <t>Expense Assumptions</t>
  </si>
  <si>
    <t>Membership Data Assumptions</t>
  </si>
  <si>
    <t>Accumulating Total Members</t>
  </si>
  <si>
    <t>Average PPV Fee</t>
  </si>
  <si>
    <t>PPV Attrition</t>
  </si>
  <si>
    <t>Member Attrition</t>
  </si>
  <si>
    <t>Accumulated Single Members</t>
  </si>
  <si>
    <t>Accumulated PPV Members</t>
  </si>
  <si>
    <t>111 Weir Drive</t>
  </si>
  <si>
    <t>Woodbury, MN 55125</t>
  </si>
  <si>
    <t>Vending Revenue</t>
  </si>
  <si>
    <t>Vending/Misc Revenues</t>
  </si>
  <si>
    <t>Vending Costs</t>
  </si>
  <si>
    <t>Member based Misc Revenue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</si>
  <si>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</si>
  <si>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</si>
  <si>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</si>
  <si>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</si>
  <si>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</si>
  <si>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</si>
  <si>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</si>
  <si>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</si>
  <si>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</si>
  <si>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</si>
  <si>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</si>
  <si>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</si>
  <si>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</si>
  <si>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</si>
  <si>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</si>
  <si>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</si>
  <si>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</si>
  <si>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</si>
  <si>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</si>
  <si>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</si>
  <si>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</si>
  <si>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</si>
  <si>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</si>
  <si>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</si>
  <si>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</si>
  <si>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</si>
  <si>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</si>
  <si>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</si>
  <si>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</si>
  <si>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</si>
  <si>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</si>
  <si>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</si>
  <si>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</si>
  <si>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</si>
  <si>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</si>
  <si>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</si>
  <si>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r>
      <rPr>
        <b/>
        <i/>
        <sz val="11"/>
        <rFont val="Arial"/>
        <family val="2"/>
      </rPr>
      <t>Net</t>
    </r>
    <r>
      <rPr>
        <sz val="11"/>
        <rFont val="Arial"/>
        <family val="2"/>
      </rPr>
      <t xml:space="preserve"> Personal Training Income</t>
    </r>
  </si>
  <si>
    <t>Annual Attrition Rate</t>
  </si>
  <si>
    <t>Other Income Assumptions (Per member)</t>
  </si>
  <si>
    <t>Proximity Card Unit Price</t>
  </si>
  <si>
    <t>Bad Debt Percentage</t>
  </si>
  <si>
    <t>Vending Cost of Goods Sold</t>
  </si>
  <si>
    <t>Average Member Fee or Contract Price</t>
  </si>
  <si>
    <t>% of Pay Per Visit (PPV) Accounts</t>
  </si>
  <si>
    <t xml:space="preserve">Full Size Unit Pro Forma Calculator </t>
  </si>
  <si>
    <t>Equipment Lease / Loan Payment</t>
  </si>
  <si>
    <t>Misc Expense</t>
  </si>
  <si>
    <t>Advertising (Local)</t>
  </si>
  <si>
    <t>(8) Base Technology Fee</t>
  </si>
  <si>
    <t xml:space="preserve">averages disclosed in Item 19 of the Anytime Fitness Franchise Disclosure Document.  You are responsible for making modifications to the assumptions below based on your own projections.   </t>
  </si>
  <si>
    <t xml:space="preserve">This calculator is provided to prospective franchisees of Anytime Fitness.  The numbers provided in this calculator are costs which are taken from </t>
  </si>
  <si>
    <t xml:space="preserve">Password to unlock this spreadsheet is AF123 (case sensitive) - - - It is not required or recommended to unlock this spreadsheet while completing.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</si>
</sst>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409]#,##0_);\([$$-409]#,##0\)"/>
    <numFmt numFmtId="166" formatCode="&quot;$&quot;#,##0.00"/>
    <numFmt numFmtId="167" formatCode="#,##0;\(#,##0\)"/>
    <numFmt numFmtId="168" formatCode="[$-409]mmm\-yy;@"/>
    <numFmt numFmtId="169" formatCode="_(&quot;$&quot;* #,##0_);_(&quot;$&quot;* \(#,##0\);_(&quot;$&quot;* &quot;-&quot;??_);_(@_)"/>
    <numFmt numFmtId="170" formatCode="0.0%"/>
  </numFmts>
  <fonts count="23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22"/>
      <name val="Arial"/>
      <family val="2"/>
    </font>
    <font>
      <b/>
      <sz val="12"/>
      <color indexed="11"/>
      <name val="Arial"/>
      <family val="2"/>
    </font>
    <font>
      <sz val="10"/>
      <name val="Verdana"/>
      <family val="2"/>
    </font>
    <font>
      <sz val="10"/>
      <color theme="3" tint="0.39997558519241921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color indexed="10"/>
      <name val="Arial"/>
      <family val="2"/>
    </font>
    <font>
      <u/>
      <sz val="11"/>
      <name val="Arial"/>
      <family val="2"/>
    </font>
    <font>
      <sz val="10"/>
      <color indexed="0"/>
      <name val="Arial"/>
      <family val="2"/>
    </font>
    <font>
      <b/>
      <i/>
      <sz val="12"/>
      <name val="Calibri"/>
      <family val="2"/>
    </font>
    <font>
      <sz val="10"/>
      <color rgb="FF0070C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7E61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6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3" fillId="2" borderId="0" xfId="0" applyFont="1" applyFill="1"/>
    <xf numFmtId="10" fontId="3" fillId="2" borderId="0" xfId="2" applyNumberFormat="1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3" borderId="0" xfId="0" applyFont="1" applyFill="1" applyAlignment="1" applyProtection="1">
      <alignment horizontal="center"/>
      <protection locked="0"/>
    </xf>
    <xf numFmtId="0" fontId="3" fillId="3" borderId="0" xfId="0" applyFont="1" applyFill="1"/>
    <xf numFmtId="0" fontId="11" fillId="2" borderId="0" xfId="0" applyFont="1" applyFill="1"/>
    <xf numFmtId="0" fontId="11" fillId="3" borderId="0" xfId="0" applyFont="1" applyFill="1"/>
    <xf numFmtId="0" fontId="11" fillId="0" borderId="0" xfId="0" applyFont="1"/>
    <xf numFmtId="0" fontId="11" fillId="2" borderId="7" xfId="0" applyFont="1" applyFill="1" applyBorder="1"/>
    <xf numFmtId="0" fontId="3" fillId="2" borderId="0" xfId="0" applyFont="1" applyFill="1" applyBorder="1" applyProtection="1"/>
    <xf numFmtId="0" fontId="11" fillId="2" borderId="7" xfId="0" applyFont="1" applyFill="1" applyBorder="1" applyAlignment="1">
      <alignment horizontal="right"/>
    </xf>
    <xf numFmtId="0" fontId="3" fillId="2" borderId="0" xfId="0" applyFont="1" applyFill="1" applyBorder="1"/>
    <xf numFmtId="5" fontId="3" fillId="2" borderId="0" xfId="1" applyNumberFormat="1" applyFont="1" applyFill="1" applyBorder="1" applyProtection="1"/>
    <xf numFmtId="0" fontId="11" fillId="2" borderId="0" xfId="0" applyFont="1" applyFill="1" applyBorder="1" applyAlignment="1">
      <alignment horizontal="right"/>
    </xf>
    <xf numFmtId="0" fontId="17" fillId="0" borderId="0" xfId="0" applyFont="1" applyAlignment="1">
      <alignment horizontal="left" vertical="center" indent="3"/>
    </xf>
    <xf numFmtId="0" fontId="4" fillId="2" borderId="0" xfId="0" applyFont="1" applyFill="1"/>
    <xf numFmtId="8" fontId="3" fillId="0" borderId="0" xfId="0" applyNumberFormat="1" applyFont="1"/>
    <xf numFmtId="0" fontId="12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11" fillId="6" borderId="1" xfId="0" applyFont="1" applyFill="1" applyBorder="1"/>
    <xf numFmtId="169" fontId="4" fillId="6" borderId="2" xfId="2" applyNumberFormat="1" applyFont="1" applyFill="1" applyBorder="1" applyAlignment="1">
      <alignment horizontal="justify"/>
    </xf>
    <xf numFmtId="165" fontId="3" fillId="7" borderId="11" xfId="1" applyNumberFormat="1" applyFont="1" applyFill="1" applyBorder="1" applyProtection="1"/>
    <xf numFmtId="165" fontId="3" fillId="7" borderId="14" xfId="1" applyNumberFormat="1" applyFont="1" applyFill="1" applyBorder="1" applyProtection="1"/>
    <xf numFmtId="5" fontId="3" fillId="7" borderId="9" xfId="0" applyNumberFormat="1" applyFont="1" applyFill="1" applyBorder="1"/>
    <xf numFmtId="5" fontId="3" fillId="7" borderId="11" xfId="1" applyNumberFormat="1" applyFont="1" applyFill="1" applyBorder="1" applyProtection="1"/>
    <xf numFmtId="0" fontId="14" fillId="7" borderId="4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11" fillId="7" borderId="7" xfId="0" applyFont="1" applyFill="1" applyBorder="1"/>
    <xf numFmtId="0" fontId="3" fillId="7" borderId="0" xfId="0" applyFont="1" applyFill="1" applyBorder="1"/>
    <xf numFmtId="0" fontId="3" fillId="7" borderId="8" xfId="0" applyFont="1" applyFill="1" applyBorder="1"/>
    <xf numFmtId="0" fontId="15" fillId="7" borderId="7" xfId="0" applyFont="1" applyFill="1" applyBorder="1" applyAlignment="1">
      <alignment horizontal="right"/>
    </xf>
    <xf numFmtId="0" fontId="11" fillId="7" borderId="7" xfId="0" applyFont="1" applyFill="1" applyBorder="1" applyAlignment="1">
      <alignment horizontal="right"/>
    </xf>
    <xf numFmtId="0" fontId="3" fillId="7" borderId="9" xfId="0" applyFont="1" applyFill="1" applyBorder="1" applyAlignment="1">
      <alignment horizontal="right"/>
    </xf>
    <xf numFmtId="0" fontId="9" fillId="7" borderId="9" xfId="0" applyFont="1" applyFill="1" applyBorder="1" applyAlignment="1">
      <alignment horizontal="right"/>
    </xf>
    <xf numFmtId="1" fontId="3" fillId="7" borderId="11" xfId="0" applyNumberFormat="1" applyFont="1" applyFill="1" applyBorder="1" applyAlignment="1">
      <alignment horizontal="right"/>
    </xf>
    <xf numFmtId="1" fontId="3" fillId="7" borderId="14" xfId="0" applyNumberFormat="1" applyFont="1" applyFill="1" applyBorder="1" applyAlignment="1">
      <alignment horizontal="right"/>
    </xf>
    <xf numFmtId="0" fontId="3" fillId="7" borderId="9" xfId="0" applyFont="1" applyFill="1" applyBorder="1"/>
    <xf numFmtId="164" fontId="3" fillId="7" borderId="9" xfId="1" applyNumberFormat="1" applyFont="1" applyFill="1" applyBorder="1" applyProtection="1"/>
    <xf numFmtId="165" fontId="3" fillId="7" borderId="9" xfId="1" applyNumberFormat="1" applyFont="1" applyFill="1" applyBorder="1" applyProtection="1"/>
    <xf numFmtId="0" fontId="12" fillId="7" borderId="7" xfId="0" applyFont="1" applyFill="1" applyBorder="1" applyAlignment="1">
      <alignment horizontal="right"/>
    </xf>
    <xf numFmtId="165" fontId="7" fillId="7" borderId="9" xfId="1" applyNumberFormat="1" applyFont="1" applyFill="1" applyBorder="1" applyProtection="1"/>
    <xf numFmtId="165" fontId="7" fillId="7" borderId="11" xfId="1" applyNumberFormat="1" applyFont="1" applyFill="1" applyBorder="1" applyProtection="1"/>
    <xf numFmtId="5" fontId="3" fillId="7" borderId="9" xfId="1" applyNumberFormat="1" applyFont="1" applyFill="1" applyBorder="1" applyProtection="1"/>
    <xf numFmtId="5" fontId="10" fillId="7" borderId="11" xfId="1" applyNumberFormat="1" applyFont="1" applyFill="1" applyBorder="1" applyProtection="1"/>
    <xf numFmtId="0" fontId="11" fillId="7" borderId="15" xfId="0" applyFont="1" applyFill="1" applyBorder="1" applyAlignment="1">
      <alignment horizontal="right"/>
    </xf>
    <xf numFmtId="5" fontId="3" fillId="7" borderId="10" xfId="1" applyNumberFormat="1" applyFont="1" applyFill="1" applyBorder="1" applyProtection="1"/>
    <xf numFmtId="5" fontId="3" fillId="7" borderId="16" xfId="1" applyNumberFormat="1" applyFont="1" applyFill="1" applyBorder="1" applyProtection="1"/>
    <xf numFmtId="5" fontId="3" fillId="7" borderId="17" xfId="1" applyNumberFormat="1" applyFont="1" applyFill="1" applyBorder="1" applyProtection="1"/>
    <xf numFmtId="168" fontId="16" fillId="7" borderId="9" xfId="4" applyNumberFormat="1" applyFont="1" applyFill="1" applyBorder="1" applyAlignment="1">
      <alignment horizontal="center"/>
    </xf>
    <xf numFmtId="166" fontId="3" fillId="7" borderId="9" xfId="0" applyNumberFormat="1" applyFont="1" applyFill="1" applyBorder="1"/>
    <xf numFmtId="5" fontId="7" fillId="7" borderId="11" xfId="1" applyNumberFormat="1" applyFont="1" applyFill="1" applyBorder="1" applyProtection="1"/>
    <xf numFmtId="5" fontId="7" fillId="7" borderId="9" xfId="1" applyNumberFormat="1" applyFont="1" applyFill="1" applyBorder="1" applyProtection="1"/>
    <xf numFmtId="5" fontId="7" fillId="7" borderId="2" xfId="1" applyNumberFormat="1" applyFont="1" applyFill="1" applyBorder="1" applyProtection="1"/>
    <xf numFmtId="169" fontId="3" fillId="7" borderId="9" xfId="0" applyNumberFormat="1" applyFont="1" applyFill="1" applyBorder="1" applyAlignment="1">
      <alignment horizontal="right"/>
    </xf>
    <xf numFmtId="0" fontId="11" fillId="0" borderId="7" xfId="0" applyFont="1" applyBorder="1"/>
    <xf numFmtId="0" fontId="11" fillId="6" borderId="3" xfId="0" applyFont="1" applyFill="1" applyBorder="1" applyAlignment="1">
      <alignment horizontal="right"/>
    </xf>
    <xf numFmtId="0" fontId="11" fillId="6" borderId="18" xfId="0" applyFont="1" applyFill="1" applyBorder="1" applyAlignment="1">
      <alignment horizontal="right"/>
    </xf>
    <xf numFmtId="0" fontId="12" fillId="0" borderId="4" xfId="0" applyFont="1" applyBorder="1"/>
    <xf numFmtId="169" fontId="3" fillId="7" borderId="11" xfId="1" applyNumberFormat="1" applyFont="1" applyFill="1" applyBorder="1" applyProtection="1"/>
    <xf numFmtId="1" fontId="4" fillId="7" borderId="11" xfId="0" applyNumberFormat="1" applyFont="1" applyFill="1" applyBorder="1" applyAlignment="1">
      <alignment horizontal="right"/>
    </xf>
    <xf numFmtId="9" fontId="3" fillId="2" borderId="0" xfId="3" applyFont="1" applyFill="1" applyBorder="1" applyProtection="1"/>
    <xf numFmtId="7" fontId="3" fillId="2" borderId="0" xfId="1" applyNumberFormat="1" applyFont="1" applyFill="1" applyBorder="1" applyProtection="1"/>
    <xf numFmtId="0" fontId="3" fillId="7" borderId="2" xfId="0" applyFont="1" applyFill="1" applyBorder="1" applyAlignment="1">
      <alignment horizontal="right"/>
    </xf>
    <xf numFmtId="5" fontId="3" fillId="7" borderId="2" xfId="0" applyNumberFormat="1" applyFont="1" applyFill="1" applyBorder="1"/>
    <xf numFmtId="0" fontId="19" fillId="7" borderId="7" xfId="0" applyFont="1" applyFill="1" applyBorder="1" applyAlignment="1">
      <alignment horizontal="right"/>
    </xf>
    <xf numFmtId="1" fontId="20" fillId="7" borderId="11" xfId="0" applyNumberFormat="1" applyFont="1" applyFill="1" applyBorder="1" applyAlignment="1">
      <alignment horizontal="right"/>
    </xf>
    <xf numFmtId="43" fontId="3" fillId="2" borderId="0" xfId="1" applyFont="1" applyFill="1" applyBorder="1" applyProtection="1"/>
    <xf numFmtId="43" fontId="3" fillId="7" borderId="9" xfId="1" applyNumberFormat="1" applyFont="1" applyFill="1" applyBorder="1" applyProtection="1"/>
    <xf numFmtId="0" fontId="20" fillId="7" borderId="9" xfId="0" applyFont="1" applyFill="1" applyBorder="1"/>
    <xf numFmtId="0" fontId="3" fillId="7" borderId="11" xfId="0" applyFont="1" applyFill="1" applyBorder="1" applyAlignment="1">
      <alignment horizontal="right"/>
    </xf>
    <xf numFmtId="164" fontId="3" fillId="7" borderId="11" xfId="1" applyNumberFormat="1" applyFont="1" applyFill="1" applyBorder="1" applyAlignment="1">
      <alignment horizontal="right"/>
    </xf>
    <xf numFmtId="164" fontId="3" fillId="7" borderId="11" xfId="0" applyNumberFormat="1" applyFont="1" applyFill="1" applyBorder="1" applyAlignment="1">
      <alignment horizontal="right"/>
    </xf>
    <xf numFmtId="0" fontId="11" fillId="0" borderId="7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right"/>
    </xf>
    <xf numFmtId="164" fontId="3" fillId="7" borderId="9" xfId="0" applyNumberFormat="1" applyFont="1" applyFill="1" applyBorder="1" applyAlignment="1">
      <alignment horizontal="right"/>
    </xf>
    <xf numFmtId="164" fontId="3" fillId="6" borderId="2" xfId="1" applyNumberFormat="1" applyFont="1" applyFill="1" applyBorder="1" applyAlignment="1">
      <alignment horizontal="right"/>
    </xf>
    <xf numFmtId="0" fontId="3" fillId="0" borderId="6" xfId="0" applyFont="1" applyBorder="1"/>
    <xf numFmtId="0" fontId="3" fillId="0" borderId="8" xfId="0" applyFont="1" applyBorder="1"/>
    <xf numFmtId="164" fontId="18" fillId="5" borderId="2" xfId="1" applyNumberFormat="1" applyFont="1" applyFill="1" applyBorder="1" applyAlignment="1" applyProtection="1">
      <alignment horizontal="right"/>
      <protection locked="0"/>
    </xf>
    <xf numFmtId="9" fontId="18" fillId="5" borderId="17" xfId="5" applyFont="1" applyFill="1" applyBorder="1" applyAlignment="1" applyProtection="1">
      <alignment horizontal="right"/>
      <protection locked="0"/>
    </xf>
    <xf numFmtId="39" fontId="18" fillId="5" borderId="2" xfId="1" applyNumberFormat="1" applyFont="1" applyFill="1" applyBorder="1" applyAlignment="1" applyProtection="1">
      <alignment horizontal="right"/>
      <protection locked="0"/>
    </xf>
    <xf numFmtId="9" fontId="18" fillId="5" borderId="2" xfId="5" applyFont="1" applyFill="1" applyBorder="1" applyAlignment="1" applyProtection="1">
      <alignment horizontal="right"/>
      <protection locked="0"/>
    </xf>
    <xf numFmtId="43" fontId="18" fillId="5" borderId="2" xfId="1" applyNumberFormat="1" applyFont="1" applyFill="1" applyBorder="1" applyAlignment="1" applyProtection="1">
      <alignment horizontal="right"/>
      <protection locked="0"/>
    </xf>
    <xf numFmtId="0" fontId="9" fillId="4" borderId="11" xfId="0" applyFont="1" applyFill="1" applyBorder="1" applyAlignment="1" applyProtection="1">
      <alignment horizontal="right"/>
      <protection locked="0"/>
    </xf>
    <xf numFmtId="0" fontId="9" fillId="4" borderId="9" xfId="0" applyFont="1" applyFill="1" applyBorder="1" applyAlignment="1" applyProtection="1">
      <alignment horizontal="right"/>
      <protection locked="0"/>
    </xf>
    <xf numFmtId="0" fontId="9" fillId="4" borderId="2" xfId="0" applyFont="1" applyFill="1" applyBorder="1" applyAlignment="1" applyProtection="1">
      <alignment horizontal="right"/>
      <protection locked="0"/>
    </xf>
    <xf numFmtId="5" fontId="3" fillId="8" borderId="9" xfId="1" applyNumberFormat="1" applyFont="1" applyFill="1" applyBorder="1" applyProtection="1"/>
    <xf numFmtId="5" fontId="3" fillId="8" borderId="10" xfId="1" applyNumberFormat="1" applyFont="1" applyFill="1" applyBorder="1" applyProtection="1"/>
    <xf numFmtId="168" fontId="3" fillId="7" borderId="9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" fontId="4" fillId="7" borderId="9" xfId="0" applyNumberFormat="1" applyFont="1" applyFill="1" applyBorder="1" applyAlignment="1">
      <alignment horizontal="right"/>
    </xf>
    <xf numFmtId="0" fontId="0" fillId="0" borderId="8" xfId="0" applyBorder="1"/>
    <xf numFmtId="0" fontId="12" fillId="0" borderId="7" xfId="0" applyFont="1" applyBorder="1"/>
    <xf numFmtId="168" fontId="16" fillId="7" borderId="2" xfId="4" applyNumberFormat="1" applyFont="1" applyFill="1" applyBorder="1" applyAlignment="1">
      <alignment horizontal="center"/>
    </xf>
    <xf numFmtId="0" fontId="3" fillId="7" borderId="14" xfId="0" applyFont="1" applyFill="1" applyBorder="1" applyAlignment="1">
      <alignment horizontal="right"/>
    </xf>
    <xf numFmtId="1" fontId="4" fillId="7" borderId="14" xfId="0" applyNumberFormat="1" applyFont="1" applyFill="1" applyBorder="1" applyAlignment="1">
      <alignment horizontal="right"/>
    </xf>
    <xf numFmtId="164" fontId="3" fillId="7" borderId="2" xfId="1" applyNumberFormat="1" applyFont="1" applyFill="1" applyBorder="1" applyProtection="1"/>
    <xf numFmtId="43" fontId="3" fillId="7" borderId="2" xfId="1" applyNumberFormat="1" applyFont="1" applyFill="1" applyBorder="1" applyProtection="1"/>
    <xf numFmtId="165" fontId="3" fillId="7" borderId="2" xfId="1" applyNumberFormat="1" applyFont="1" applyFill="1" applyBorder="1" applyProtection="1"/>
    <xf numFmtId="165" fontId="7" fillId="7" borderId="14" xfId="1" applyNumberFormat="1" applyFont="1" applyFill="1" applyBorder="1" applyProtection="1"/>
    <xf numFmtId="5" fontId="3" fillId="7" borderId="14" xfId="1" applyNumberFormat="1" applyFont="1" applyFill="1" applyBorder="1" applyProtection="1"/>
    <xf numFmtId="169" fontId="3" fillId="7" borderId="14" xfId="1" applyNumberFormat="1" applyFont="1" applyFill="1" applyBorder="1" applyProtection="1"/>
    <xf numFmtId="5" fontId="10" fillId="7" borderId="14" xfId="1" applyNumberFormat="1" applyFont="1" applyFill="1" applyBorder="1" applyProtection="1"/>
    <xf numFmtId="5" fontId="3" fillId="7" borderId="19" xfId="1" applyNumberFormat="1" applyFont="1" applyFill="1" applyBorder="1" applyProtection="1"/>
    <xf numFmtId="0" fontId="15" fillId="7" borderId="4" xfId="0" applyFont="1" applyFill="1" applyBorder="1" applyAlignment="1">
      <alignment horizontal="right"/>
    </xf>
    <xf numFmtId="0" fontId="3" fillId="7" borderId="20" xfId="0" applyFont="1" applyFill="1" applyBorder="1"/>
    <xf numFmtId="0" fontId="9" fillId="4" borderId="14" xfId="0" applyFont="1" applyFill="1" applyBorder="1" applyAlignment="1" applyProtection="1">
      <alignment horizontal="right"/>
      <protection locked="0"/>
    </xf>
    <xf numFmtId="1" fontId="20" fillId="7" borderId="14" xfId="0" applyNumberFormat="1" applyFont="1" applyFill="1" applyBorder="1" applyAlignment="1">
      <alignment horizontal="right"/>
    </xf>
    <xf numFmtId="164" fontId="3" fillId="7" borderId="14" xfId="1" applyNumberFormat="1" applyFont="1" applyFill="1" applyBorder="1" applyAlignment="1">
      <alignment horizontal="right"/>
    </xf>
    <xf numFmtId="169" fontId="3" fillId="7" borderId="2" xfId="0" applyNumberFormat="1" applyFont="1" applyFill="1" applyBorder="1" applyAlignment="1">
      <alignment horizontal="right"/>
    </xf>
    <xf numFmtId="0" fontId="3" fillId="7" borderId="10" xfId="0" applyFont="1" applyFill="1" applyBorder="1"/>
    <xf numFmtId="165" fontId="3" fillId="0" borderId="11" xfId="1" applyNumberFormat="1" applyFont="1" applyFill="1" applyBorder="1" applyProtection="1"/>
    <xf numFmtId="5" fontId="3" fillId="0" borderId="9" xfId="0" applyNumberFormat="1" applyFont="1" applyFill="1" applyBorder="1"/>
    <xf numFmtId="2" fontId="18" fillId="5" borderId="2" xfId="1" applyNumberFormat="1" applyFont="1" applyFill="1" applyBorder="1" applyAlignment="1" applyProtection="1">
      <alignment horizontal="right"/>
      <protection locked="0"/>
    </xf>
    <xf numFmtId="170" fontId="18" fillId="5" borderId="17" xfId="5" applyNumberFormat="1" applyFont="1" applyFill="1" applyBorder="1" applyAlignment="1" applyProtection="1">
      <alignment horizontal="right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2" fillId="3" borderId="0" xfId="0" applyFont="1" applyFill="1" applyAlignment="1"/>
    <xf numFmtId="0" fontId="11" fillId="6" borderId="1" xfId="0" applyFont="1" applyFill="1" applyBorder="1" applyAlignment="1">
      <alignment horizontal="right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6" fillId="2" borderId="0" xfId="0" applyFont="1" applyFill="1" applyAlignment="1" applyProtection="1">
      <alignment horizontal="center"/>
      <protection locked="0"/>
    </xf>
  </cellXfs>
  <cellStyles count="6">
    <cellStyle name="Comma" xfId="1" builtinId="3"/>
    <cellStyle name="Currency" xfId="2" builtinId="4"/>
    <cellStyle name="FRxAmtStyle" xfId="4" xr:uid="{00000000-0005-0000-0000-000002000000}"/>
    <cellStyle name="Normal" xfId="0" builtinId="0"/>
    <cellStyle name="Percent" xfId="3" builtinId="5"/>
    <cellStyle name="Percent 2" xfId="5" xr:uid="{00000000-0005-0000-0000-000005000000}"/>
  </cellStyles>
  <dxfs count="6"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FF"/>
      <color rgb="FF7E6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1 - Monthly Cash Flow</a:t>
            </a:r>
          </a:p>
        </c:rich>
      </c:tx>
      <c:layout>
        <c:manualLayout>
          <c:xMode val="edge"/>
          <c:yMode val="edge"/>
          <c:x val="0.39573322100915131"/>
          <c:y val="3.1717752019195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47038210757631"/>
          <c:y val="0.20323638116664036"/>
          <c:w val="0.88916294513998373"/>
          <c:h val="0.51356718165331239"/>
        </c:manualLayout>
      </c:layout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Projections'!$C$52:$N$52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Projections'!$C$71:$N$71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5-4317-A69A-A3E494760478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Projections'!$C$52:$N$52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Projections'!$C$65:$N$65</c:f>
              <c:numCache>
                <c:formatCode>[$$-409]#,##0_);\([$$-409]#,##0\)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5-4317-A69A-A3E49476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80560"/>
        <c:axId val="57183280"/>
      </c:lineChart>
      <c:catAx>
        <c:axId val="571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832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8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80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2 -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Projections'!$C$75:$N$75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Projections'!$C$96:$N$96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0-48B0-859D-6253C9FCA1C5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Projections'!$C$75:$N$75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Projections'!$C$90:$N$90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0-48B0-859D-6253C9FC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82736"/>
        <c:axId val="57172400"/>
      </c:lineChart>
      <c:catAx>
        <c:axId val="571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724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7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182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3 -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Projections'!$C$100:$N$100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Projections'!$C$121:$N$121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B-4BA2-9DFD-438724627E8A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Projections'!$C$100:$N$100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Projections'!$C$115:$N$115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B-4BA2-9DFD-438724627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72944"/>
        <c:axId val="57175120"/>
      </c:lineChart>
      <c:catAx>
        <c:axId val="571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7512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75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172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31751</xdr:colOff>
      <xdr:row>4</xdr:row>
      <xdr:rowOff>1</xdr:rowOff>
    </xdr:from>
    <xdr:to>
      <xdr:col>13</xdr:col>
      <xdr:colOff>518583</xdr:colOff>
      <xdr:row>19</xdr:row>
      <xdr:rowOff>0</xdr:rowOff>
    </xdr:to>
    <xdr:graphicFrame macro="">
      <xdr:nvGraphicFramePr>
        <xdr:cNvPr id="1037" name="Year 1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42332</xdr:colOff>
      <xdr:row>20</xdr:row>
      <xdr:rowOff>0</xdr:rowOff>
    </xdr:from>
    <xdr:to>
      <xdr:col>13</xdr:col>
      <xdr:colOff>529166</xdr:colOff>
      <xdr:row>32</xdr:row>
      <xdr:rowOff>170391</xdr:rowOff>
    </xdr:to>
    <xdr:graphicFrame macro="">
      <xdr:nvGraphicFramePr>
        <xdr:cNvPr id="1038" name="Year 1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123</xdr:row>
          <xdr:rowOff>139700</xdr:rowOff>
        </xdr:from>
        <xdr:to>
          <xdr:col>9</xdr:col>
          <xdr:colOff>914400</xdr:colOff>
          <xdr:row>152</xdr:row>
          <xdr:rowOff>63500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61851</xdr:colOff>
      <xdr:row>33</xdr:row>
      <xdr:rowOff>160811</xdr:rowOff>
    </xdr:from>
    <xdr:to>
      <xdr:col>13</xdr:col>
      <xdr:colOff>548685</xdr:colOff>
      <xdr:row>48</xdr:row>
      <xdr:rowOff>21949</xdr:rowOff>
    </xdr:to>
    <xdr:graphicFrame macro="">
      <xdr:nvGraphicFramePr>
        <xdr:cNvPr id="7" name="Year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0.00733</cdr:x>
      <cdr:y>0.02228</cdr:y>
    </cdr:from>
    <cdr:to>
      <cdr:x>0.09342</cdr:x>
      <cdr:y>0.12311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9FBB3BB1-9275-499A-B4DE-95AF61E4584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619" y="57538"/>
          <a:ext cx="922781" cy="26037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439A2D2D-7CD6-4A62-BE7C-E781E17EC7F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B1BD78A6-5288-44FA-B4F5-36DE590AB70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4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activeCellId="1" sqref="C32 D23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0"/>
  <sheetViews>
    <sheetView tabSelected="1" zoomScale="85" zoomScaleNormal="85" workbookViewId="0">
      <selection activeCell="Q18" sqref="Q18"/>
    </sheetView>
  </sheetViews>
  <sheetFormatPr baseColWidth="10" defaultColWidth="10.6640625" defaultRowHeight="14" x14ac:dyDescent="0.15"/>
  <cols>
    <col min="1" max="1" width="31.83203125" style="10" customWidth="1"/>
    <col min="2" max="2" width="13.33203125" style="1" customWidth="1"/>
    <col min="3" max="3" width="11.83203125" style="1" bestFit="1" customWidth="1"/>
    <col min="4" max="13" width="12.33203125" style="1" bestFit="1" customWidth="1"/>
    <col min="14" max="15" width="10.6640625" style="1"/>
    <col min="16" max="16" width="12" style="1" bestFit="1" customWidth="1"/>
    <col min="17" max="16384" width="10.6640625" style="1"/>
  </cols>
  <sheetData>
    <row r="1" spans="1:21" ht="28" x14ac:dyDescent="0.3">
      <c r="A1" s="126" t="s">
        <v>101</v>
      </c>
      <c r="B1" s="126"/>
      <c r="C1" s="126"/>
      <c r="D1" s="126"/>
      <c r="E1" s="126"/>
      <c r="F1" s="126"/>
      <c r="G1" s="126"/>
      <c r="H1" s="126"/>
      <c r="I1" s="126"/>
      <c r="J1" s="2"/>
      <c r="K1" s="2"/>
      <c r="L1" s="2"/>
      <c r="M1" s="2"/>
      <c r="N1" s="2"/>
      <c r="O1" s="15"/>
      <c r="P1" s="15"/>
      <c r="Q1" s="15"/>
      <c r="R1" s="15"/>
      <c r="S1" s="15"/>
      <c r="T1" s="15"/>
      <c r="U1" s="15"/>
    </row>
    <row r="2" spans="1:21" ht="15.75" customHeight="1" x14ac:dyDescent="0.3">
      <c r="A2" s="122" t="s">
        <v>107</v>
      </c>
      <c r="B2" s="6"/>
      <c r="C2" s="121"/>
      <c r="D2" s="121"/>
      <c r="E2" s="121"/>
      <c r="F2" s="121"/>
      <c r="G2" s="121"/>
      <c r="H2" s="121"/>
      <c r="I2" s="121"/>
      <c r="J2" s="2"/>
      <c r="K2" s="2"/>
      <c r="L2" s="2"/>
      <c r="M2" s="2"/>
      <c r="N2" s="2"/>
      <c r="O2" s="15"/>
      <c r="P2" s="15"/>
      <c r="Q2" s="15"/>
      <c r="R2" s="15"/>
      <c r="S2" s="15"/>
      <c r="T2" s="15"/>
      <c r="U2" s="15"/>
    </row>
    <row r="3" spans="1:21" ht="15.75" customHeight="1" x14ac:dyDescent="0.3">
      <c r="A3" s="122" t="s">
        <v>106</v>
      </c>
      <c r="B3" s="6"/>
      <c r="C3" s="121"/>
      <c r="D3" s="121"/>
      <c r="E3" s="121"/>
      <c r="F3" s="121"/>
      <c r="G3" s="121"/>
      <c r="H3" s="121"/>
      <c r="I3" s="121"/>
      <c r="J3" s="2"/>
      <c r="K3" s="2"/>
      <c r="L3" s="2"/>
      <c r="M3" s="2"/>
      <c r="N3" s="2"/>
      <c r="O3" s="15"/>
      <c r="P3" s="15"/>
      <c r="Q3" s="15"/>
      <c r="R3" s="15"/>
      <c r="S3" s="15"/>
      <c r="T3" s="15"/>
      <c r="U3" s="15"/>
    </row>
    <row r="4" spans="1:21" ht="15" thickBot="1" x14ac:dyDescent="0.2">
      <c r="A4" s="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5"/>
      <c r="P4" s="15"/>
      <c r="Q4" s="15"/>
      <c r="R4" s="15"/>
      <c r="S4" s="15"/>
      <c r="T4" s="15"/>
      <c r="U4" s="15"/>
    </row>
    <row r="5" spans="1:21" ht="13" x14ac:dyDescent="0.15">
      <c r="A5" s="124" t="s">
        <v>1</v>
      </c>
      <c r="B5" s="12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5"/>
      <c r="P5" s="15"/>
      <c r="Q5" s="15"/>
      <c r="R5" s="15"/>
      <c r="S5" s="15"/>
      <c r="T5" s="15"/>
      <c r="U5" s="15"/>
    </row>
    <row r="6" spans="1:21" x14ac:dyDescent="0.15">
      <c r="A6" s="20" t="s">
        <v>7</v>
      </c>
      <c r="B6" s="2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5"/>
      <c r="P6" s="15"/>
      <c r="Q6" s="15"/>
      <c r="R6" s="15"/>
      <c r="S6" s="15"/>
      <c r="T6" s="15"/>
      <c r="U6" s="15"/>
    </row>
    <row r="7" spans="1:21" x14ac:dyDescent="0.15">
      <c r="A7" s="22" t="s">
        <v>8</v>
      </c>
      <c r="B7" s="23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5"/>
      <c r="P7" s="15"/>
      <c r="Q7" s="15"/>
      <c r="R7" s="15"/>
      <c r="S7" s="15"/>
      <c r="T7" s="15"/>
      <c r="U7" s="15"/>
    </row>
    <row r="8" spans="1:21" x14ac:dyDescent="0.15">
      <c r="A8" s="24" t="s">
        <v>6</v>
      </c>
      <c r="B8" s="8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5"/>
      <c r="P8" s="15"/>
      <c r="Q8" s="15"/>
      <c r="R8" s="15"/>
      <c r="S8" s="15"/>
      <c r="T8" s="15"/>
      <c r="U8" s="15"/>
    </row>
    <row r="9" spans="1:21" x14ac:dyDescent="0.15">
      <c r="A9" s="24" t="s">
        <v>102</v>
      </c>
      <c r="B9" s="8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5"/>
      <c r="P9" s="15"/>
      <c r="Q9" s="15"/>
      <c r="R9" s="15"/>
      <c r="S9" s="15"/>
      <c r="T9" s="15"/>
      <c r="U9" s="15"/>
    </row>
    <row r="10" spans="1:21" x14ac:dyDescent="0.15">
      <c r="A10" s="24" t="s">
        <v>5</v>
      </c>
      <c r="B10" s="8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5"/>
      <c r="P10" s="15"/>
      <c r="Q10" s="15"/>
      <c r="R10" s="15"/>
      <c r="S10" s="15"/>
      <c r="T10" s="15"/>
      <c r="U10" s="15"/>
    </row>
    <row r="11" spans="1:21" x14ac:dyDescent="0.15">
      <c r="A11" s="24" t="s">
        <v>14</v>
      </c>
      <c r="B11" s="8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5"/>
      <c r="P11" s="15"/>
      <c r="Q11" s="15"/>
      <c r="R11" s="15"/>
      <c r="S11" s="15"/>
      <c r="T11" s="15"/>
      <c r="U11" s="15"/>
    </row>
    <row r="12" spans="1:21" x14ac:dyDescent="0.15">
      <c r="A12" s="24" t="s">
        <v>23</v>
      </c>
      <c r="B12" s="8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5"/>
      <c r="P12" s="15"/>
      <c r="Q12" s="15"/>
      <c r="R12" s="15"/>
      <c r="S12" s="15"/>
      <c r="T12" s="15"/>
      <c r="U12" s="15"/>
    </row>
    <row r="13" spans="1:21" x14ac:dyDescent="0.15">
      <c r="A13" s="24" t="s">
        <v>13</v>
      </c>
      <c r="B13" s="8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5"/>
      <c r="P13" s="15"/>
      <c r="Q13" s="15"/>
      <c r="R13" s="15"/>
      <c r="S13" s="15"/>
      <c r="T13" s="15"/>
      <c r="U13" s="15"/>
    </row>
    <row r="14" spans="1:21" x14ac:dyDescent="0.15">
      <c r="A14" s="24" t="s">
        <v>104</v>
      </c>
      <c r="B14" s="8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5"/>
      <c r="P14" s="15"/>
      <c r="Q14" s="15"/>
      <c r="R14" s="15"/>
      <c r="S14" s="15"/>
      <c r="T14" s="15"/>
      <c r="U14" s="15"/>
    </row>
    <row r="15" spans="1:21" x14ac:dyDescent="0.15">
      <c r="A15" s="24" t="s">
        <v>26</v>
      </c>
      <c r="B15" s="8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5"/>
      <c r="P15" s="15"/>
      <c r="Q15" s="15"/>
      <c r="R15" s="15"/>
      <c r="S15" s="15"/>
      <c r="T15" s="15"/>
      <c r="U15" s="15"/>
    </row>
    <row r="16" spans="1:21" x14ac:dyDescent="0.15">
      <c r="A16" s="24" t="s">
        <v>33</v>
      </c>
      <c r="B16" s="8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5"/>
      <c r="P16" s="15"/>
      <c r="Q16" s="15"/>
      <c r="R16" s="15"/>
      <c r="S16" s="15"/>
      <c r="T16" s="15"/>
      <c r="U16" s="15"/>
    </row>
    <row r="17" spans="1:21" x14ac:dyDescent="0.15">
      <c r="A17" s="24" t="s">
        <v>105</v>
      </c>
      <c r="B17" s="8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5"/>
      <c r="P17" s="15"/>
      <c r="Q17" s="15"/>
      <c r="R17" s="15"/>
      <c r="S17" s="15"/>
      <c r="T17" s="15"/>
      <c r="U17" s="15"/>
    </row>
    <row r="18" spans="1:21" x14ac:dyDescent="0.15">
      <c r="A18" s="24" t="s">
        <v>34</v>
      </c>
      <c r="B18" s="8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5"/>
      <c r="P18" s="15"/>
      <c r="Q18" s="15"/>
      <c r="R18" s="15"/>
      <c r="S18" s="15"/>
      <c r="T18" s="15"/>
      <c r="U18" s="15"/>
    </row>
    <row r="19" spans="1:21" x14ac:dyDescent="0.15">
      <c r="A19" s="24" t="s">
        <v>35</v>
      </c>
      <c r="B19" s="8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5"/>
      <c r="P19" s="15"/>
      <c r="Q19" s="15"/>
      <c r="R19" s="15"/>
      <c r="S19" s="15"/>
      <c r="T19" s="15"/>
      <c r="U19" s="15"/>
    </row>
    <row r="20" spans="1:21" x14ac:dyDescent="0.15">
      <c r="A20" s="24" t="s">
        <v>103</v>
      </c>
      <c r="B20" s="8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5"/>
      <c r="P20" s="15"/>
      <c r="Q20" s="15"/>
      <c r="R20" s="15"/>
      <c r="S20" s="15"/>
      <c r="T20" s="15"/>
      <c r="U20" s="15"/>
    </row>
    <row r="21" spans="1:21" x14ac:dyDescent="0.15">
      <c r="A21" s="24" t="s">
        <v>103</v>
      </c>
      <c r="B21" s="8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5"/>
      <c r="P21" s="15"/>
      <c r="Q21" s="15"/>
      <c r="R21" s="15"/>
      <c r="S21" s="15"/>
      <c r="T21" s="15"/>
      <c r="U21" s="15"/>
    </row>
    <row r="22" spans="1:21" x14ac:dyDescent="0.15">
      <c r="A22" s="24" t="s">
        <v>103</v>
      </c>
      <c r="B22" s="8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5"/>
      <c r="P22" s="15"/>
      <c r="Q22" s="15"/>
      <c r="R22" s="15"/>
      <c r="S22" s="15"/>
      <c r="T22" s="15"/>
      <c r="U22" s="15"/>
    </row>
    <row r="23" spans="1:21" x14ac:dyDescent="0.15">
      <c r="A23" s="24" t="s">
        <v>10</v>
      </c>
      <c r="B23" s="25">
        <f>SUM(B8:B22)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5"/>
      <c r="P23" s="15"/>
      <c r="Q23" s="15"/>
      <c r="R23" s="15"/>
      <c r="S23" s="15"/>
      <c r="T23" s="15"/>
      <c r="U23" s="15"/>
    </row>
    <row r="24" spans="1:21" x14ac:dyDescent="0.15">
      <c r="A24" s="60"/>
      <c r="B24" s="8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5"/>
      <c r="P24" s="15"/>
      <c r="Q24" s="15"/>
      <c r="R24" s="15"/>
      <c r="S24" s="15"/>
      <c r="T24" s="15"/>
      <c r="U24" s="15"/>
    </row>
    <row r="25" spans="1:21" x14ac:dyDescent="0.15">
      <c r="A25" s="123" t="s">
        <v>16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5"/>
      <c r="P25" s="15"/>
      <c r="Q25" s="15"/>
      <c r="R25" s="15"/>
      <c r="S25" s="15"/>
      <c r="T25" s="15"/>
      <c r="U25" s="15"/>
    </row>
    <row r="26" spans="1:21" ht="15" thickBot="1" x14ac:dyDescent="0.2">
      <c r="A26" s="60"/>
      <c r="B26" s="8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5"/>
      <c r="P26" s="15"/>
      <c r="Q26" s="15"/>
      <c r="R26" s="15"/>
      <c r="S26" s="15"/>
      <c r="T26" s="15"/>
      <c r="U26" s="15"/>
    </row>
    <row r="27" spans="1:21" x14ac:dyDescent="0.15">
      <c r="A27" s="63" t="s">
        <v>44</v>
      </c>
      <c r="B27" s="8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5"/>
      <c r="P27" s="15"/>
      <c r="Q27" s="15"/>
      <c r="R27" s="15"/>
      <c r="S27" s="15"/>
      <c r="T27" s="15"/>
      <c r="U27" s="15"/>
    </row>
    <row r="28" spans="1:21" x14ac:dyDescent="0.15">
      <c r="A28" s="61" t="s">
        <v>100</v>
      </c>
      <c r="B28" s="8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15"/>
      <c r="Q28" s="15"/>
      <c r="R28" s="15"/>
      <c r="S28" s="15"/>
      <c r="T28" s="15"/>
      <c r="U28" s="15"/>
    </row>
    <row r="29" spans="1:21" x14ac:dyDescent="0.15">
      <c r="A29" s="60"/>
      <c r="B29" s="8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5"/>
      <c r="P29" s="15"/>
      <c r="Q29" s="15"/>
      <c r="R29" s="15"/>
      <c r="S29" s="15"/>
      <c r="T29" s="15"/>
      <c r="U29" s="15"/>
    </row>
    <row r="30" spans="1:21" x14ac:dyDescent="0.15">
      <c r="A30" s="61" t="s">
        <v>19</v>
      </c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5"/>
      <c r="P30" s="15"/>
      <c r="Q30" s="15"/>
      <c r="R30" s="15"/>
      <c r="S30" s="15"/>
      <c r="T30" s="15"/>
      <c r="U30" s="15"/>
    </row>
    <row r="31" spans="1:21" x14ac:dyDescent="0.15">
      <c r="A31" s="61" t="s">
        <v>36</v>
      </c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5"/>
      <c r="P31" s="15"/>
      <c r="Q31" s="15"/>
      <c r="R31" s="15"/>
      <c r="S31" s="15"/>
      <c r="T31" s="15"/>
      <c r="U31" s="15"/>
    </row>
    <row r="32" spans="1:21" x14ac:dyDescent="0.15">
      <c r="A32" s="61" t="s">
        <v>99</v>
      </c>
      <c r="B32" s="8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5"/>
      <c r="P32" s="15"/>
      <c r="Q32" s="15"/>
      <c r="R32" s="15"/>
      <c r="S32" s="15"/>
      <c r="T32" s="15"/>
      <c r="U32" s="15"/>
    </row>
    <row r="33" spans="1:21" x14ac:dyDescent="0.15">
      <c r="A33" s="61" t="s">
        <v>46</v>
      </c>
      <c r="B33" s="8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5"/>
      <c r="P33" s="15"/>
      <c r="Q33" s="15"/>
      <c r="R33" s="15"/>
      <c r="S33" s="15"/>
      <c r="T33" s="15"/>
      <c r="U33" s="15"/>
    </row>
    <row r="34" spans="1:21" x14ac:dyDescent="0.15">
      <c r="A34" s="60"/>
      <c r="B34" s="9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5"/>
      <c r="P34" s="15"/>
      <c r="Q34" s="15"/>
      <c r="R34" s="15"/>
      <c r="S34" s="15"/>
      <c r="T34" s="15"/>
      <c r="U34" s="15"/>
    </row>
    <row r="35" spans="1:21" ht="15" thickBot="1" x14ac:dyDescent="0.2">
      <c r="A35" s="62" t="s">
        <v>94</v>
      </c>
      <c r="B35" s="8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5"/>
      <c r="P35" s="15"/>
      <c r="Q35" s="15"/>
      <c r="R35" s="15"/>
      <c r="S35" s="15"/>
      <c r="T35" s="15"/>
      <c r="U35" s="15"/>
    </row>
    <row r="36" spans="1:21" x14ac:dyDescent="0.15">
      <c r="A36" s="60"/>
      <c r="B36" s="8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5"/>
      <c r="P36" s="15"/>
      <c r="Q36" s="15"/>
      <c r="R36" s="15"/>
      <c r="S36" s="15"/>
      <c r="T36" s="15"/>
      <c r="U36" s="15"/>
    </row>
    <row r="37" spans="1:21" ht="15" thickBot="1" x14ac:dyDescent="0.2">
      <c r="A37" s="60"/>
      <c r="B37" s="8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5"/>
      <c r="P37" s="15"/>
      <c r="Q37" s="15"/>
      <c r="R37" s="15"/>
      <c r="S37" s="15"/>
      <c r="T37" s="15"/>
      <c r="U37" s="15"/>
    </row>
    <row r="38" spans="1:21" x14ac:dyDescent="0.15">
      <c r="A38" s="63" t="s">
        <v>95</v>
      </c>
      <c r="B38" s="8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5"/>
      <c r="P38" s="15"/>
      <c r="Q38" s="15"/>
      <c r="R38" s="15"/>
      <c r="S38" s="15"/>
      <c r="T38" s="15"/>
      <c r="U38" s="15"/>
    </row>
    <row r="39" spans="1:21" x14ac:dyDescent="0.15">
      <c r="A39" s="61" t="s">
        <v>93</v>
      </c>
      <c r="B39" s="8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5"/>
      <c r="P39" s="15"/>
      <c r="Q39" s="15"/>
      <c r="R39" s="15"/>
      <c r="S39" s="15"/>
      <c r="T39" s="15"/>
      <c r="U39" s="15"/>
    </row>
    <row r="40" spans="1:21" x14ac:dyDescent="0.15">
      <c r="A40" s="79" t="s">
        <v>53</v>
      </c>
      <c r="B40" s="8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5"/>
      <c r="P40" s="15"/>
      <c r="Q40" s="15"/>
      <c r="R40" s="15"/>
      <c r="S40" s="15"/>
      <c r="T40" s="15"/>
      <c r="U40" s="15"/>
    </row>
    <row r="41" spans="1:21" x14ac:dyDescent="0.15">
      <c r="A41" s="79" t="s">
        <v>56</v>
      </c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5"/>
      <c r="P41" s="15"/>
      <c r="Q41" s="15"/>
      <c r="R41" s="15"/>
      <c r="S41" s="15"/>
      <c r="T41" s="15"/>
      <c r="U41" s="15"/>
    </row>
    <row r="42" spans="1:21" x14ac:dyDescent="0.15">
      <c r="A42" s="79" t="s">
        <v>56</v>
      </c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5"/>
      <c r="P42" s="15"/>
      <c r="Q42" s="15"/>
      <c r="R42" s="15"/>
      <c r="S42" s="15"/>
      <c r="T42" s="15"/>
      <c r="U42" s="15"/>
    </row>
    <row r="43" spans="1:21" x14ac:dyDescent="0.15">
      <c r="A43" s="60"/>
      <c r="B43" s="8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5"/>
      <c r="P43" s="15"/>
      <c r="Q43" s="15"/>
      <c r="R43" s="15"/>
      <c r="S43" s="15"/>
      <c r="T43" s="15"/>
      <c r="U43" s="15"/>
    </row>
    <row r="44" spans="1:21" ht="14.25" customHeight="1" x14ac:dyDescent="0.15">
      <c r="A44" s="98" t="s">
        <v>43</v>
      </c>
      <c r="B44" s="8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5"/>
      <c r="P44" s="15"/>
      <c r="Q44" s="15"/>
      <c r="R44" s="15"/>
      <c r="S44" s="15"/>
      <c r="T44" s="15"/>
      <c r="U44" s="15"/>
    </row>
    <row r="45" spans="1:21" ht="12.75" customHeight="1" x14ac:dyDescent="0.15">
      <c r="A45" s="61" t="s">
        <v>98</v>
      </c>
      <c r="B45" s="8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5"/>
      <c r="P45" s="15"/>
      <c r="Q45" s="15"/>
      <c r="R45" s="15"/>
      <c r="S45" s="15"/>
      <c r="T45" s="15"/>
      <c r="U45" s="15"/>
    </row>
    <row r="46" spans="1:21" ht="12.75" customHeight="1" x14ac:dyDescent="0.15">
      <c r="A46" s="61" t="s">
        <v>96</v>
      </c>
      <c r="B46" s="1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5"/>
      <c r="P46" s="15"/>
      <c r="Q46" s="15"/>
      <c r="R46" s="15"/>
      <c r="S46" s="15"/>
      <c r="T46" s="15"/>
      <c r="U46" s="15"/>
    </row>
    <row r="47" spans="1:21" ht="12.75" customHeight="1" thickBot="1" x14ac:dyDescent="0.2">
      <c r="A47" s="62" t="s">
        <v>97</v>
      </c>
      <c r="B47" s="1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5"/>
      <c r="P47" s="15"/>
      <c r="Q47" s="15"/>
      <c r="R47" s="15"/>
      <c r="S47" s="15"/>
      <c r="T47" s="15"/>
      <c r="U47" s="15"/>
    </row>
    <row r="48" spans="1:21" x14ac:dyDescent="0.15">
      <c r="A48" s="8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5"/>
      <c r="P48" s="15"/>
      <c r="Q48" s="15"/>
      <c r="R48" s="15"/>
      <c r="S48" s="15"/>
      <c r="T48" s="15"/>
      <c r="U48" s="15"/>
    </row>
    <row r="49" spans="1:21" ht="15" thickBot="1" x14ac:dyDescent="0.2">
      <c r="A49" s="8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5"/>
      <c r="P49" s="15"/>
      <c r="Q49" s="15"/>
      <c r="R49" s="15"/>
      <c r="S49" s="15"/>
      <c r="T49" s="15"/>
      <c r="U49" s="15"/>
    </row>
    <row r="50" spans="1:21" x14ac:dyDescent="0.15">
      <c r="A50" s="30" t="s">
        <v>2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2"/>
      <c r="O50" s="15"/>
      <c r="P50" s="15"/>
      <c r="Q50" s="15"/>
      <c r="R50" s="15"/>
      <c r="S50" s="15"/>
      <c r="T50" s="15"/>
      <c r="U50" s="15"/>
    </row>
    <row r="51" spans="1:21" x14ac:dyDescent="0.15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O51" s="15"/>
      <c r="P51" s="15"/>
      <c r="Q51" s="15"/>
      <c r="R51" s="15"/>
      <c r="S51" s="15"/>
      <c r="T51" s="15"/>
      <c r="U51" s="15"/>
    </row>
    <row r="52" spans="1:21" x14ac:dyDescent="0.15">
      <c r="A52" s="36" t="s">
        <v>11</v>
      </c>
      <c r="B52" s="95" t="s">
        <v>21</v>
      </c>
      <c r="C52" s="94" t="s">
        <v>57</v>
      </c>
      <c r="D52" s="54" t="s">
        <v>58</v>
      </c>
      <c r="E52" s="54" t="s">
        <v>59</v>
      </c>
      <c r="F52" s="54" t="s">
        <v>60</v>
      </c>
      <c r="G52" s="54" t="s">
        <v>61</v>
      </c>
      <c r="H52" s="54" t="s">
        <v>62</v>
      </c>
      <c r="I52" s="54" t="s">
        <v>63</v>
      </c>
      <c r="J52" s="54" t="s">
        <v>64</v>
      </c>
      <c r="K52" s="54" t="s">
        <v>65</v>
      </c>
      <c r="L52" s="54" t="s">
        <v>66</v>
      </c>
      <c r="M52" s="54" t="s">
        <v>67</v>
      </c>
      <c r="N52" s="99" t="s">
        <v>68</v>
      </c>
      <c r="O52" s="15"/>
      <c r="P52" s="15"/>
      <c r="Q52" s="15"/>
      <c r="R52" s="15"/>
      <c r="S52" s="15"/>
      <c r="T52" s="15"/>
      <c r="U52" s="15"/>
    </row>
    <row r="53" spans="1:21" s="4" customFormat="1" x14ac:dyDescent="0.15">
      <c r="A53" s="37" t="s">
        <v>38</v>
      </c>
      <c r="B53" s="80">
        <f>B30</f>
        <v>0</v>
      </c>
      <c r="C53" s="89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1"/>
      <c r="O53" s="15"/>
      <c r="P53" s="15"/>
      <c r="Q53" s="15"/>
      <c r="R53" s="15"/>
      <c r="S53" s="15"/>
      <c r="T53" s="15"/>
      <c r="U53" s="15"/>
    </row>
    <row r="54" spans="1:21" s="5" customFormat="1" x14ac:dyDescent="0.15">
      <c r="A54" s="37" t="s">
        <v>24</v>
      </c>
      <c r="B54" s="80">
        <f>B53</f>
        <v>0</v>
      </c>
      <c r="C54" s="38">
        <f t="shared" ref="C54:N54" si="0">ROUND((C53*(1-$B$28)),0)</f>
        <v>0</v>
      </c>
      <c r="D54" s="38">
        <f t="shared" si="0"/>
        <v>0</v>
      </c>
      <c r="E54" s="38">
        <f t="shared" si="0"/>
        <v>0</v>
      </c>
      <c r="F54" s="38">
        <f t="shared" si="0"/>
        <v>0</v>
      </c>
      <c r="G54" s="38">
        <f t="shared" si="0"/>
        <v>0</v>
      </c>
      <c r="H54" s="38">
        <f t="shared" si="0"/>
        <v>0</v>
      </c>
      <c r="I54" s="38">
        <f t="shared" si="0"/>
        <v>0</v>
      </c>
      <c r="J54" s="38">
        <f t="shared" si="0"/>
        <v>0</v>
      </c>
      <c r="K54" s="38">
        <f t="shared" si="0"/>
        <v>0</v>
      </c>
      <c r="L54" s="38">
        <f t="shared" si="0"/>
        <v>0</v>
      </c>
      <c r="M54" s="38">
        <f t="shared" si="0"/>
        <v>0</v>
      </c>
      <c r="N54" s="68">
        <f t="shared" si="0"/>
        <v>0</v>
      </c>
      <c r="O54" s="15"/>
      <c r="P54" s="15"/>
      <c r="Q54" s="15"/>
      <c r="R54" s="15"/>
      <c r="S54" s="15"/>
      <c r="T54" s="15"/>
      <c r="U54" s="15"/>
    </row>
    <row r="55" spans="1:21" s="5" customFormat="1" x14ac:dyDescent="0.15">
      <c r="A55" s="37" t="s">
        <v>49</v>
      </c>
      <c r="B55" s="80">
        <f>SUM(B54)</f>
        <v>0</v>
      </c>
      <c r="C55" s="77">
        <f>C54+B55</f>
        <v>0</v>
      </c>
      <c r="D55" s="75">
        <f t="shared" ref="D55:N55" si="1">D54+C55</f>
        <v>0</v>
      </c>
      <c r="E55" s="75">
        <f t="shared" si="1"/>
        <v>0</v>
      </c>
      <c r="F55" s="75">
        <f t="shared" si="1"/>
        <v>0</v>
      </c>
      <c r="G55" s="75">
        <f t="shared" si="1"/>
        <v>0</v>
      </c>
      <c r="H55" s="75">
        <f t="shared" si="1"/>
        <v>0</v>
      </c>
      <c r="I55" s="75">
        <f t="shared" si="1"/>
        <v>0</v>
      </c>
      <c r="J55" s="75">
        <f t="shared" si="1"/>
        <v>0</v>
      </c>
      <c r="K55" s="75">
        <f t="shared" si="1"/>
        <v>0</v>
      </c>
      <c r="L55" s="75">
        <f t="shared" si="1"/>
        <v>0</v>
      </c>
      <c r="M55" s="75">
        <f t="shared" si="1"/>
        <v>0</v>
      </c>
      <c r="N55" s="100">
        <f t="shared" si="1"/>
        <v>0</v>
      </c>
      <c r="O55" s="15"/>
      <c r="P55" s="15"/>
      <c r="Q55" s="15"/>
      <c r="R55" s="15"/>
      <c r="S55" s="15"/>
      <c r="T55" s="15"/>
      <c r="U55" s="15"/>
    </row>
    <row r="56" spans="1:21" s="5" customFormat="1" x14ac:dyDescent="0.15">
      <c r="A56" s="37" t="s">
        <v>40</v>
      </c>
      <c r="B56" s="80">
        <v>0</v>
      </c>
      <c r="C56" s="40">
        <f t="shared" ref="C56:N56" si="2">ROUND(C53*$B$28,0)</f>
        <v>0</v>
      </c>
      <c r="D56" s="40">
        <f t="shared" si="2"/>
        <v>0</v>
      </c>
      <c r="E56" s="40">
        <f t="shared" si="2"/>
        <v>0</v>
      </c>
      <c r="F56" s="40">
        <f t="shared" si="2"/>
        <v>0</v>
      </c>
      <c r="G56" s="40">
        <f t="shared" si="2"/>
        <v>0</v>
      </c>
      <c r="H56" s="40">
        <f t="shared" si="2"/>
        <v>0</v>
      </c>
      <c r="I56" s="40">
        <f t="shared" si="2"/>
        <v>0</v>
      </c>
      <c r="J56" s="40">
        <f t="shared" si="2"/>
        <v>0</v>
      </c>
      <c r="K56" s="40">
        <f t="shared" si="2"/>
        <v>0</v>
      </c>
      <c r="L56" s="40">
        <f t="shared" si="2"/>
        <v>0</v>
      </c>
      <c r="M56" s="40">
        <f t="shared" si="2"/>
        <v>0</v>
      </c>
      <c r="N56" s="41">
        <f t="shared" si="2"/>
        <v>0</v>
      </c>
      <c r="O56" s="15"/>
      <c r="P56" s="15"/>
      <c r="Q56" s="15"/>
      <c r="R56" s="15"/>
      <c r="S56" s="15"/>
      <c r="T56" s="15"/>
      <c r="U56" s="15"/>
    </row>
    <row r="57" spans="1:21" s="5" customFormat="1" x14ac:dyDescent="0.15">
      <c r="A57" s="37" t="s">
        <v>50</v>
      </c>
      <c r="B57" s="80">
        <f>SUM(B56)</f>
        <v>0</v>
      </c>
      <c r="C57" s="40">
        <f>B57+C56</f>
        <v>0</v>
      </c>
      <c r="D57" s="40">
        <f t="shared" ref="D57:M57" si="3">C57+D56</f>
        <v>0</v>
      </c>
      <c r="E57" s="40">
        <f t="shared" si="3"/>
        <v>0</v>
      </c>
      <c r="F57" s="40">
        <f t="shared" si="3"/>
        <v>0</v>
      </c>
      <c r="G57" s="40">
        <f t="shared" si="3"/>
        <v>0</v>
      </c>
      <c r="H57" s="40">
        <f t="shared" si="3"/>
        <v>0</v>
      </c>
      <c r="I57" s="40">
        <f t="shared" si="3"/>
        <v>0</v>
      </c>
      <c r="J57" s="40">
        <f t="shared" si="3"/>
        <v>0</v>
      </c>
      <c r="K57" s="40">
        <f t="shared" si="3"/>
        <v>0</v>
      </c>
      <c r="L57" s="40">
        <f t="shared" si="3"/>
        <v>0</v>
      </c>
      <c r="M57" s="40">
        <f t="shared" si="3"/>
        <v>0</v>
      </c>
      <c r="N57" s="41">
        <f>M57+N56</f>
        <v>0</v>
      </c>
      <c r="O57" s="15"/>
      <c r="P57" s="67"/>
      <c r="Q57" s="15"/>
      <c r="R57" s="15"/>
      <c r="S57" s="15"/>
      <c r="T57" s="15"/>
      <c r="U57" s="15"/>
    </row>
    <row r="58" spans="1:21" s="5" customFormat="1" x14ac:dyDescent="0.15">
      <c r="A58" s="45" t="s">
        <v>45</v>
      </c>
      <c r="B58" s="96">
        <f>B57+B55</f>
        <v>0</v>
      </c>
      <c r="C58" s="65">
        <f>C57+C55</f>
        <v>0</v>
      </c>
      <c r="D58" s="65">
        <f t="shared" ref="D58:N58" si="4">D57+D55</f>
        <v>0</v>
      </c>
      <c r="E58" s="65">
        <f t="shared" si="4"/>
        <v>0</v>
      </c>
      <c r="F58" s="65">
        <f t="shared" si="4"/>
        <v>0</v>
      </c>
      <c r="G58" s="65">
        <f t="shared" si="4"/>
        <v>0</v>
      </c>
      <c r="H58" s="65">
        <f t="shared" si="4"/>
        <v>0</v>
      </c>
      <c r="I58" s="65">
        <f t="shared" si="4"/>
        <v>0</v>
      </c>
      <c r="J58" s="65">
        <f t="shared" si="4"/>
        <v>0</v>
      </c>
      <c r="K58" s="65">
        <f t="shared" si="4"/>
        <v>0</v>
      </c>
      <c r="L58" s="65">
        <f t="shared" si="4"/>
        <v>0</v>
      </c>
      <c r="M58" s="65">
        <f t="shared" si="4"/>
        <v>0</v>
      </c>
      <c r="N58" s="101">
        <f t="shared" si="4"/>
        <v>0</v>
      </c>
      <c r="O58" s="66"/>
      <c r="P58" s="15"/>
      <c r="Q58" s="15"/>
      <c r="R58" s="15"/>
      <c r="S58" s="15"/>
      <c r="T58" s="15"/>
      <c r="U58" s="15"/>
    </row>
    <row r="59" spans="1:21" x14ac:dyDescent="0.15">
      <c r="A59" s="37" t="s">
        <v>20</v>
      </c>
      <c r="B59" s="42">
        <v>0</v>
      </c>
      <c r="C59" s="43">
        <f t="shared" ref="C59:N59" si="5">C55*$B$32</f>
        <v>0</v>
      </c>
      <c r="D59" s="43">
        <f t="shared" si="5"/>
        <v>0</v>
      </c>
      <c r="E59" s="43">
        <f t="shared" si="5"/>
        <v>0</v>
      </c>
      <c r="F59" s="43">
        <f t="shared" si="5"/>
        <v>0</v>
      </c>
      <c r="G59" s="43">
        <f t="shared" si="5"/>
        <v>0</v>
      </c>
      <c r="H59" s="43">
        <f t="shared" si="5"/>
        <v>0</v>
      </c>
      <c r="I59" s="43">
        <f t="shared" si="5"/>
        <v>0</v>
      </c>
      <c r="J59" s="43">
        <f t="shared" si="5"/>
        <v>0</v>
      </c>
      <c r="K59" s="43">
        <f t="shared" si="5"/>
        <v>0</v>
      </c>
      <c r="L59" s="43">
        <f t="shared" si="5"/>
        <v>0</v>
      </c>
      <c r="M59" s="43">
        <f t="shared" si="5"/>
        <v>0</v>
      </c>
      <c r="N59" s="102">
        <f t="shared" si="5"/>
        <v>0</v>
      </c>
      <c r="O59" s="15"/>
      <c r="P59" s="72"/>
      <c r="Q59" s="15"/>
      <c r="R59" s="15"/>
      <c r="S59" s="15"/>
      <c r="T59" s="15"/>
      <c r="U59" s="15"/>
    </row>
    <row r="60" spans="1:21" x14ac:dyDescent="0.15">
      <c r="A60" s="37" t="s">
        <v>17</v>
      </c>
      <c r="B60" s="43">
        <f>(B54*$B$32)+(B56*$B$33)</f>
        <v>0</v>
      </c>
      <c r="C60" s="73">
        <f t="shared" ref="C60:N60" si="6">(C57*$B$33)</f>
        <v>0</v>
      </c>
      <c r="D60" s="73">
        <f t="shared" si="6"/>
        <v>0</v>
      </c>
      <c r="E60" s="73">
        <f t="shared" si="6"/>
        <v>0</v>
      </c>
      <c r="F60" s="73">
        <f t="shared" si="6"/>
        <v>0</v>
      </c>
      <c r="G60" s="73">
        <f t="shared" si="6"/>
        <v>0</v>
      </c>
      <c r="H60" s="73">
        <f t="shared" si="6"/>
        <v>0</v>
      </c>
      <c r="I60" s="73">
        <f t="shared" si="6"/>
        <v>0</v>
      </c>
      <c r="J60" s="73">
        <f t="shared" si="6"/>
        <v>0</v>
      </c>
      <c r="K60" s="73">
        <f t="shared" si="6"/>
        <v>0</v>
      </c>
      <c r="L60" s="73">
        <f t="shared" si="6"/>
        <v>0</v>
      </c>
      <c r="M60" s="73">
        <f t="shared" si="6"/>
        <v>0</v>
      </c>
      <c r="N60" s="103">
        <f t="shared" si="6"/>
        <v>0</v>
      </c>
      <c r="O60" s="15"/>
      <c r="P60" s="15"/>
      <c r="Q60" s="15"/>
      <c r="R60" s="15"/>
      <c r="S60" s="15"/>
      <c r="T60" s="15"/>
      <c r="U60" s="15"/>
    </row>
    <row r="61" spans="1:21" x14ac:dyDescent="0.15">
      <c r="A61" s="37" t="s">
        <v>18</v>
      </c>
      <c r="B61" s="44">
        <v>0</v>
      </c>
      <c r="C61" s="26">
        <f>SUM(C59:C60)</f>
        <v>0</v>
      </c>
      <c r="D61" s="26">
        <f t="shared" ref="D61:N61" si="7">SUM(D59:D60)</f>
        <v>0</v>
      </c>
      <c r="E61" s="26">
        <f t="shared" si="7"/>
        <v>0</v>
      </c>
      <c r="F61" s="26">
        <f t="shared" si="7"/>
        <v>0</v>
      </c>
      <c r="G61" s="26">
        <f t="shared" si="7"/>
        <v>0</v>
      </c>
      <c r="H61" s="26">
        <f t="shared" si="7"/>
        <v>0</v>
      </c>
      <c r="I61" s="26">
        <f t="shared" si="7"/>
        <v>0</v>
      </c>
      <c r="J61" s="26">
        <f t="shared" si="7"/>
        <v>0</v>
      </c>
      <c r="K61" s="26">
        <f t="shared" si="7"/>
        <v>0</v>
      </c>
      <c r="L61" s="26">
        <f t="shared" si="7"/>
        <v>0</v>
      </c>
      <c r="M61" s="26">
        <f t="shared" si="7"/>
        <v>0</v>
      </c>
      <c r="N61" s="27">
        <f t="shared" si="7"/>
        <v>0</v>
      </c>
      <c r="O61" s="15"/>
      <c r="P61" s="15"/>
      <c r="Q61" s="15"/>
      <c r="R61" s="15"/>
      <c r="S61" s="15"/>
      <c r="T61" s="15"/>
      <c r="U61" s="15"/>
    </row>
    <row r="62" spans="1:21" x14ac:dyDescent="0.15">
      <c r="A62" s="37" t="s">
        <v>54</v>
      </c>
      <c r="B62" s="44">
        <v>0</v>
      </c>
      <c r="C62" s="117">
        <f t="shared" ref="C62:N62" si="8">(+C58*$B$40)+(C58*$B$41)+(C58*$B$42)</f>
        <v>0</v>
      </c>
      <c r="D62" s="26">
        <f t="shared" si="8"/>
        <v>0</v>
      </c>
      <c r="E62" s="26">
        <f t="shared" si="8"/>
        <v>0</v>
      </c>
      <c r="F62" s="26">
        <f t="shared" si="8"/>
        <v>0</v>
      </c>
      <c r="G62" s="26">
        <f t="shared" si="8"/>
        <v>0</v>
      </c>
      <c r="H62" s="26">
        <f t="shared" si="8"/>
        <v>0</v>
      </c>
      <c r="I62" s="26">
        <f t="shared" si="8"/>
        <v>0</v>
      </c>
      <c r="J62" s="26">
        <f t="shared" si="8"/>
        <v>0</v>
      </c>
      <c r="K62" s="26">
        <f t="shared" si="8"/>
        <v>0</v>
      </c>
      <c r="L62" s="26">
        <f t="shared" si="8"/>
        <v>0</v>
      </c>
      <c r="M62" s="26">
        <f t="shared" si="8"/>
        <v>0</v>
      </c>
      <c r="N62" s="27">
        <f t="shared" si="8"/>
        <v>0</v>
      </c>
      <c r="O62" s="15"/>
      <c r="P62" s="15"/>
      <c r="Q62" s="15"/>
      <c r="R62" s="15"/>
      <c r="S62" s="15"/>
      <c r="T62" s="15"/>
      <c r="U62" s="15"/>
    </row>
    <row r="63" spans="1:21" x14ac:dyDescent="0.15">
      <c r="A63" s="37" t="s">
        <v>39</v>
      </c>
      <c r="B63" s="44">
        <v>0</v>
      </c>
      <c r="C63" s="118">
        <f t="shared" ref="C63:N63" si="9">C58*$B$39</f>
        <v>0</v>
      </c>
      <c r="D63" s="28">
        <f t="shared" si="9"/>
        <v>0</v>
      </c>
      <c r="E63" s="28">
        <f t="shared" si="9"/>
        <v>0</v>
      </c>
      <c r="F63" s="28">
        <f t="shared" si="9"/>
        <v>0</v>
      </c>
      <c r="G63" s="28">
        <f t="shared" si="9"/>
        <v>0</v>
      </c>
      <c r="H63" s="28">
        <f t="shared" si="9"/>
        <v>0</v>
      </c>
      <c r="I63" s="28">
        <f t="shared" si="9"/>
        <v>0</v>
      </c>
      <c r="J63" s="28">
        <f t="shared" si="9"/>
        <v>0</v>
      </c>
      <c r="K63" s="28">
        <f t="shared" si="9"/>
        <v>0</v>
      </c>
      <c r="L63" s="28">
        <f t="shared" si="9"/>
        <v>0</v>
      </c>
      <c r="M63" s="28">
        <f t="shared" si="9"/>
        <v>0</v>
      </c>
      <c r="N63" s="69">
        <f t="shared" si="9"/>
        <v>0</v>
      </c>
      <c r="O63" s="15"/>
      <c r="P63" s="15"/>
      <c r="Q63" s="15"/>
      <c r="R63" s="15"/>
      <c r="S63" s="15"/>
      <c r="T63" s="15"/>
      <c r="U63" s="15"/>
    </row>
    <row r="64" spans="1:21" x14ac:dyDescent="0.15">
      <c r="A64" s="37" t="s">
        <v>37</v>
      </c>
      <c r="B64" s="44">
        <f>B53*B31</f>
        <v>0</v>
      </c>
      <c r="C64" s="44">
        <f t="shared" ref="C64:N64" si="10">C53*$B$31</f>
        <v>0</v>
      </c>
      <c r="D64" s="44">
        <f t="shared" si="10"/>
        <v>0</v>
      </c>
      <c r="E64" s="44">
        <f t="shared" si="10"/>
        <v>0</v>
      </c>
      <c r="F64" s="44">
        <f t="shared" si="10"/>
        <v>0</v>
      </c>
      <c r="G64" s="44">
        <f t="shared" si="10"/>
        <v>0</v>
      </c>
      <c r="H64" s="44">
        <f t="shared" si="10"/>
        <v>0</v>
      </c>
      <c r="I64" s="44">
        <f t="shared" si="10"/>
        <v>0</v>
      </c>
      <c r="J64" s="44">
        <f t="shared" si="10"/>
        <v>0</v>
      </c>
      <c r="K64" s="44">
        <f t="shared" si="10"/>
        <v>0</v>
      </c>
      <c r="L64" s="44">
        <f t="shared" si="10"/>
        <v>0</v>
      </c>
      <c r="M64" s="44">
        <f t="shared" si="10"/>
        <v>0</v>
      </c>
      <c r="N64" s="104">
        <f t="shared" si="10"/>
        <v>0</v>
      </c>
      <c r="O64" s="15"/>
      <c r="P64" s="15"/>
      <c r="Q64" s="15"/>
      <c r="R64" s="15"/>
      <c r="S64" s="15"/>
      <c r="T64" s="15"/>
      <c r="U64" s="15"/>
    </row>
    <row r="65" spans="1:21" ht="16" x14ac:dyDescent="0.2">
      <c r="A65" s="45" t="s">
        <v>3</v>
      </c>
      <c r="B65" s="46">
        <f>SUM(B60:B64)</f>
        <v>0</v>
      </c>
      <c r="C65" s="47">
        <f>SUM(C61:C64)</f>
        <v>0</v>
      </c>
      <c r="D65" s="47">
        <f t="shared" ref="D65:N65" si="11">SUM(D61:D64)</f>
        <v>0</v>
      </c>
      <c r="E65" s="47">
        <f t="shared" si="11"/>
        <v>0</v>
      </c>
      <c r="F65" s="47">
        <f t="shared" si="11"/>
        <v>0</v>
      </c>
      <c r="G65" s="47">
        <f t="shared" si="11"/>
        <v>0</v>
      </c>
      <c r="H65" s="47">
        <f t="shared" si="11"/>
        <v>0</v>
      </c>
      <c r="I65" s="47">
        <f t="shared" si="11"/>
        <v>0</v>
      </c>
      <c r="J65" s="47">
        <f t="shared" si="11"/>
        <v>0</v>
      </c>
      <c r="K65" s="47">
        <f t="shared" si="11"/>
        <v>0</v>
      </c>
      <c r="L65" s="47">
        <f t="shared" si="11"/>
        <v>0</v>
      </c>
      <c r="M65" s="47">
        <f t="shared" si="11"/>
        <v>0</v>
      </c>
      <c r="N65" s="105">
        <f t="shared" si="11"/>
        <v>0</v>
      </c>
      <c r="O65" s="15"/>
      <c r="P65" s="15"/>
      <c r="Q65" s="15"/>
      <c r="R65" s="15"/>
      <c r="S65" s="15"/>
      <c r="T65" s="15"/>
      <c r="U65" s="15"/>
    </row>
    <row r="66" spans="1:21" x14ac:dyDescent="0.15">
      <c r="A66" s="37" t="s">
        <v>15</v>
      </c>
      <c r="B66" s="48">
        <v>0</v>
      </c>
      <c r="C66" s="29">
        <f>(C61*0.05)+((C64+C63)*0.015)</f>
        <v>0</v>
      </c>
      <c r="D66" s="29">
        <f t="shared" ref="D66:N66" si="12">(D61*0.05)+((D64+D63)*0.015)</f>
        <v>0</v>
      </c>
      <c r="E66" s="29">
        <f t="shared" si="12"/>
        <v>0</v>
      </c>
      <c r="F66" s="29">
        <f t="shared" si="12"/>
        <v>0</v>
      </c>
      <c r="G66" s="29">
        <f t="shared" si="12"/>
        <v>0</v>
      </c>
      <c r="H66" s="29">
        <f t="shared" si="12"/>
        <v>0</v>
      </c>
      <c r="I66" s="29">
        <f t="shared" si="12"/>
        <v>0</v>
      </c>
      <c r="J66" s="29">
        <f t="shared" si="12"/>
        <v>0</v>
      </c>
      <c r="K66" s="29">
        <f t="shared" si="12"/>
        <v>0</v>
      </c>
      <c r="L66" s="29">
        <f t="shared" si="12"/>
        <v>0</v>
      </c>
      <c r="M66" s="29">
        <f t="shared" si="12"/>
        <v>0</v>
      </c>
      <c r="N66" s="106">
        <f t="shared" si="12"/>
        <v>0</v>
      </c>
      <c r="O66" s="15"/>
      <c r="P66" s="15"/>
      <c r="Q66" s="15"/>
      <c r="R66" s="15"/>
      <c r="S66" s="15"/>
      <c r="T66" s="15"/>
      <c r="U66" s="15"/>
    </row>
    <row r="67" spans="1:21" x14ac:dyDescent="0.15">
      <c r="A67" s="37" t="s">
        <v>41</v>
      </c>
      <c r="B67" s="48">
        <v>0</v>
      </c>
      <c r="C67" s="29">
        <f t="shared" ref="C67:N67" si="13">C53*$B$46</f>
        <v>0</v>
      </c>
      <c r="D67" s="29">
        <f t="shared" si="13"/>
        <v>0</v>
      </c>
      <c r="E67" s="29">
        <f t="shared" si="13"/>
        <v>0</v>
      </c>
      <c r="F67" s="29">
        <f t="shared" si="13"/>
        <v>0</v>
      </c>
      <c r="G67" s="29">
        <f t="shared" si="13"/>
        <v>0</v>
      </c>
      <c r="H67" s="29">
        <f t="shared" si="13"/>
        <v>0</v>
      </c>
      <c r="I67" s="29">
        <f t="shared" si="13"/>
        <v>0</v>
      </c>
      <c r="J67" s="29">
        <f t="shared" si="13"/>
        <v>0</v>
      </c>
      <c r="K67" s="29">
        <f t="shared" si="13"/>
        <v>0</v>
      </c>
      <c r="L67" s="29">
        <f t="shared" si="13"/>
        <v>0</v>
      </c>
      <c r="M67" s="29">
        <f t="shared" si="13"/>
        <v>0</v>
      </c>
      <c r="N67" s="106">
        <f t="shared" si="13"/>
        <v>0</v>
      </c>
      <c r="O67" s="15"/>
      <c r="P67" s="15"/>
      <c r="Q67" s="15"/>
      <c r="R67" s="15"/>
      <c r="S67" s="15"/>
      <c r="T67" s="15"/>
      <c r="U67" s="15"/>
    </row>
    <row r="68" spans="1:21" x14ac:dyDescent="0.15">
      <c r="A68" s="37" t="s">
        <v>32</v>
      </c>
      <c r="B68" s="48"/>
      <c r="C68" s="29">
        <f t="shared" ref="C68:N68" si="14">$B$47*C61</f>
        <v>0</v>
      </c>
      <c r="D68" s="29">
        <f t="shared" si="14"/>
        <v>0</v>
      </c>
      <c r="E68" s="29">
        <f t="shared" si="14"/>
        <v>0</v>
      </c>
      <c r="F68" s="29">
        <f t="shared" si="14"/>
        <v>0</v>
      </c>
      <c r="G68" s="29">
        <f t="shared" si="14"/>
        <v>0</v>
      </c>
      <c r="H68" s="29">
        <f t="shared" si="14"/>
        <v>0</v>
      </c>
      <c r="I68" s="29">
        <f t="shared" si="14"/>
        <v>0</v>
      </c>
      <c r="J68" s="29">
        <f t="shared" si="14"/>
        <v>0</v>
      </c>
      <c r="K68" s="29">
        <f t="shared" si="14"/>
        <v>0</v>
      </c>
      <c r="L68" s="29">
        <f t="shared" si="14"/>
        <v>0</v>
      </c>
      <c r="M68" s="29">
        <f t="shared" si="14"/>
        <v>0</v>
      </c>
      <c r="N68" s="106">
        <f t="shared" si="14"/>
        <v>0</v>
      </c>
      <c r="O68" s="15"/>
      <c r="P68" s="15"/>
      <c r="Q68" s="15"/>
      <c r="R68" s="15"/>
      <c r="S68" s="15"/>
      <c r="T68" s="15"/>
      <c r="U68" s="15"/>
    </row>
    <row r="69" spans="1:21" x14ac:dyDescent="0.15">
      <c r="A69" s="78" t="s">
        <v>55</v>
      </c>
      <c r="B69" s="48"/>
      <c r="C69" s="29">
        <f t="shared" ref="C69:N69" si="15">($B$40*C58)*$B$45</f>
        <v>0</v>
      </c>
      <c r="D69" s="29">
        <f t="shared" si="15"/>
        <v>0</v>
      </c>
      <c r="E69" s="29">
        <f t="shared" si="15"/>
        <v>0</v>
      </c>
      <c r="F69" s="29">
        <f t="shared" si="15"/>
        <v>0</v>
      </c>
      <c r="G69" s="29">
        <f t="shared" si="15"/>
        <v>0</v>
      </c>
      <c r="H69" s="29">
        <f t="shared" si="15"/>
        <v>0</v>
      </c>
      <c r="I69" s="29">
        <f t="shared" si="15"/>
        <v>0</v>
      </c>
      <c r="J69" s="29">
        <f t="shared" si="15"/>
        <v>0</v>
      </c>
      <c r="K69" s="29">
        <f t="shared" si="15"/>
        <v>0</v>
      </c>
      <c r="L69" s="29">
        <f t="shared" si="15"/>
        <v>0</v>
      </c>
      <c r="M69" s="29">
        <f t="shared" si="15"/>
        <v>0</v>
      </c>
      <c r="N69" s="106">
        <f t="shared" si="15"/>
        <v>0</v>
      </c>
      <c r="O69" s="15"/>
      <c r="P69" s="15"/>
      <c r="Q69" s="15"/>
      <c r="R69" s="15"/>
      <c r="S69" s="15"/>
      <c r="T69" s="15"/>
      <c r="U69" s="15"/>
    </row>
    <row r="70" spans="1:21" x14ac:dyDescent="0.15">
      <c r="A70" s="37" t="s">
        <v>8</v>
      </c>
      <c r="B70" s="48">
        <v>0</v>
      </c>
      <c r="C70" s="64">
        <f t="shared" ref="C70:N70" si="16">$B$23</f>
        <v>0</v>
      </c>
      <c r="D70" s="64">
        <f t="shared" si="16"/>
        <v>0</v>
      </c>
      <c r="E70" s="64">
        <f t="shared" si="16"/>
        <v>0</v>
      </c>
      <c r="F70" s="64">
        <f t="shared" si="16"/>
        <v>0</v>
      </c>
      <c r="G70" s="64">
        <f t="shared" si="16"/>
        <v>0</v>
      </c>
      <c r="H70" s="64">
        <f t="shared" si="16"/>
        <v>0</v>
      </c>
      <c r="I70" s="64">
        <f t="shared" si="16"/>
        <v>0</v>
      </c>
      <c r="J70" s="64">
        <f t="shared" si="16"/>
        <v>0</v>
      </c>
      <c r="K70" s="64">
        <f t="shared" si="16"/>
        <v>0</v>
      </c>
      <c r="L70" s="64">
        <f t="shared" si="16"/>
        <v>0</v>
      </c>
      <c r="M70" s="64">
        <f t="shared" si="16"/>
        <v>0</v>
      </c>
      <c r="N70" s="107">
        <f t="shared" si="16"/>
        <v>0</v>
      </c>
      <c r="O70" s="15"/>
      <c r="P70" s="15"/>
      <c r="Q70" s="15"/>
      <c r="R70" s="15"/>
      <c r="S70" s="15"/>
      <c r="T70" s="15"/>
      <c r="U70" s="15"/>
    </row>
    <row r="71" spans="1:21" ht="16" x14ac:dyDescent="0.2">
      <c r="A71" s="45" t="s">
        <v>42</v>
      </c>
      <c r="B71" s="48">
        <v>0</v>
      </c>
      <c r="C71" s="49">
        <f>SUM(C66:C70)-(IF($B$25&gt;0,$B$8,0))</f>
        <v>0</v>
      </c>
      <c r="D71" s="49">
        <f>SUM(D66:D70)-(IF($B$25&gt;1,$B$8,0))</f>
        <v>0</v>
      </c>
      <c r="E71" s="49">
        <f>SUM(E66:E70)-(IF($B$25&gt;2,$B$8,0))</f>
        <v>0</v>
      </c>
      <c r="F71" s="49">
        <f>SUM(F66:F70)-(IF($B$25&gt;3,$B$8,0))</f>
        <v>0</v>
      </c>
      <c r="G71" s="49">
        <f>SUM(G66:G70)-(IF($B$25&gt;4,$B$8,0))</f>
        <v>0</v>
      </c>
      <c r="H71" s="49">
        <f>SUM(H66:H70)-(IF($B$25&gt;5,$B$8,0))</f>
        <v>0</v>
      </c>
      <c r="I71" s="49">
        <f>SUM(I66:I70)-(IF($B$25&gt;6,$B$8,0))</f>
        <v>0</v>
      </c>
      <c r="J71" s="49">
        <f>SUM(J66:J70)-(IF($B$25&gt;7,$B$8,0))</f>
        <v>0</v>
      </c>
      <c r="K71" s="49">
        <f>SUM(K66:K70)-(IF($B$25&gt;8,$B$8,0))</f>
        <v>0</v>
      </c>
      <c r="L71" s="49">
        <f>SUM(L66:L70)-(IF($B$25&gt;9,$B$8,0))</f>
        <v>0</v>
      </c>
      <c r="M71" s="49">
        <f>SUM(M66:M70)-(IF($B$25&gt;10,$B$8,0))</f>
        <v>0</v>
      </c>
      <c r="N71" s="108">
        <f>SUM(N66:N70)-(IF($B$25&gt;11,$B$8,0))</f>
        <v>0</v>
      </c>
      <c r="O71" s="15"/>
      <c r="P71" s="15"/>
      <c r="Q71" s="15"/>
      <c r="R71" s="15"/>
      <c r="S71" s="15"/>
      <c r="T71" s="15"/>
      <c r="U71" s="15"/>
    </row>
    <row r="72" spans="1:21" x14ac:dyDescent="0.15">
      <c r="A72" s="37" t="s">
        <v>4</v>
      </c>
      <c r="B72" s="92">
        <f t="shared" ref="B72" si="17">SUM(B65-B71)</f>
        <v>0</v>
      </c>
      <c r="C72" s="29">
        <f>SUM(C65-C71)</f>
        <v>0</v>
      </c>
      <c r="D72" s="29">
        <f t="shared" ref="D72:N72" si="18">SUM(D65-D71)</f>
        <v>0</v>
      </c>
      <c r="E72" s="29">
        <f t="shared" si="18"/>
        <v>0</v>
      </c>
      <c r="F72" s="29">
        <f t="shared" si="18"/>
        <v>0</v>
      </c>
      <c r="G72" s="29">
        <f t="shared" si="18"/>
        <v>0</v>
      </c>
      <c r="H72" s="29">
        <f t="shared" si="18"/>
        <v>0</v>
      </c>
      <c r="I72" s="29">
        <f t="shared" si="18"/>
        <v>0</v>
      </c>
      <c r="J72" s="29">
        <f t="shared" si="18"/>
        <v>0</v>
      </c>
      <c r="K72" s="29">
        <f t="shared" si="18"/>
        <v>0</v>
      </c>
      <c r="L72" s="29">
        <f t="shared" si="18"/>
        <v>0</v>
      </c>
      <c r="M72" s="29">
        <f t="shared" si="18"/>
        <v>0</v>
      </c>
      <c r="N72" s="106">
        <f t="shared" si="18"/>
        <v>0</v>
      </c>
      <c r="O72" s="15"/>
      <c r="P72" s="15"/>
      <c r="Q72" s="15"/>
      <c r="R72" s="15"/>
      <c r="S72" s="15"/>
      <c r="T72" s="15"/>
      <c r="U72" s="15"/>
    </row>
    <row r="73" spans="1:21" ht="15" thickBot="1" x14ac:dyDescent="0.2">
      <c r="A73" s="50" t="s">
        <v>0</v>
      </c>
      <c r="B73" s="93">
        <f>B72</f>
        <v>0</v>
      </c>
      <c r="C73" s="52">
        <f>C72+B73</f>
        <v>0</v>
      </c>
      <c r="D73" s="52">
        <f t="shared" ref="D73:N73" si="19">D72+C73</f>
        <v>0</v>
      </c>
      <c r="E73" s="52">
        <f t="shared" si="19"/>
        <v>0</v>
      </c>
      <c r="F73" s="52">
        <f t="shared" si="19"/>
        <v>0</v>
      </c>
      <c r="G73" s="52">
        <f t="shared" si="19"/>
        <v>0</v>
      </c>
      <c r="H73" s="52">
        <f t="shared" si="19"/>
        <v>0</v>
      </c>
      <c r="I73" s="52">
        <f t="shared" si="19"/>
        <v>0</v>
      </c>
      <c r="J73" s="52">
        <f t="shared" si="19"/>
        <v>0</v>
      </c>
      <c r="K73" s="52">
        <f t="shared" si="19"/>
        <v>0</v>
      </c>
      <c r="L73" s="52">
        <f t="shared" si="19"/>
        <v>0</v>
      </c>
      <c r="M73" s="52">
        <f t="shared" si="19"/>
        <v>0</v>
      </c>
      <c r="N73" s="109">
        <f t="shared" si="19"/>
        <v>0</v>
      </c>
      <c r="O73" s="15"/>
      <c r="P73" s="15"/>
      <c r="Q73" s="15"/>
      <c r="R73" s="15"/>
      <c r="S73" s="15"/>
      <c r="T73" s="15"/>
      <c r="U73" s="15"/>
    </row>
    <row r="74" spans="1:21" ht="15" thickBot="1" x14ac:dyDescent="0.2">
      <c r="A74" s="11"/>
      <c r="B74" s="1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5"/>
      <c r="P74" s="15"/>
      <c r="Q74" s="15"/>
      <c r="R74" s="15"/>
      <c r="S74" s="15"/>
      <c r="T74" s="15"/>
      <c r="U74" s="15"/>
    </row>
    <row r="75" spans="1:21" x14ac:dyDescent="0.15">
      <c r="A75" s="110" t="s">
        <v>12</v>
      </c>
      <c r="B75" s="111"/>
      <c r="C75" s="94" t="s">
        <v>69</v>
      </c>
      <c r="D75" s="54" t="s">
        <v>70</v>
      </c>
      <c r="E75" s="54" t="s">
        <v>71</v>
      </c>
      <c r="F75" s="54" t="s">
        <v>72</v>
      </c>
      <c r="G75" s="54" t="s">
        <v>73</v>
      </c>
      <c r="H75" s="54" t="s">
        <v>74</v>
      </c>
      <c r="I75" s="54" t="s">
        <v>75</v>
      </c>
      <c r="J75" s="54" t="s">
        <v>76</v>
      </c>
      <c r="K75" s="54" t="s">
        <v>77</v>
      </c>
      <c r="L75" s="54" t="s">
        <v>78</v>
      </c>
      <c r="M75" s="54" t="s">
        <v>79</v>
      </c>
      <c r="N75" s="54" t="s">
        <v>80</v>
      </c>
      <c r="O75" s="15"/>
      <c r="P75" s="15"/>
      <c r="Q75" s="15"/>
      <c r="R75" s="15"/>
      <c r="S75" s="15"/>
      <c r="T75" s="15"/>
      <c r="U75" s="15"/>
    </row>
    <row r="76" spans="1:21" s="4" customFormat="1" x14ac:dyDescent="0.15">
      <c r="A76" s="37" t="s">
        <v>38</v>
      </c>
      <c r="B76" s="3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112"/>
      <c r="O76" s="15"/>
      <c r="P76" s="15"/>
      <c r="Q76" s="15"/>
      <c r="R76" s="15"/>
      <c r="S76" s="15"/>
      <c r="T76" s="15"/>
      <c r="U76" s="15"/>
    </row>
    <row r="77" spans="1:21" x14ac:dyDescent="0.15">
      <c r="A77" s="37" t="s">
        <v>24</v>
      </c>
      <c r="B77" s="42"/>
      <c r="C77" s="38">
        <f t="shared" ref="C77:N77" si="20">ROUND((C76*(1-$B$28)),0)</f>
        <v>0</v>
      </c>
      <c r="D77" s="38">
        <f t="shared" si="20"/>
        <v>0</v>
      </c>
      <c r="E77" s="38">
        <f t="shared" si="20"/>
        <v>0</v>
      </c>
      <c r="F77" s="38">
        <f t="shared" si="20"/>
        <v>0</v>
      </c>
      <c r="G77" s="38">
        <f t="shared" si="20"/>
        <v>0</v>
      </c>
      <c r="H77" s="38">
        <f t="shared" si="20"/>
        <v>0</v>
      </c>
      <c r="I77" s="38">
        <f t="shared" si="20"/>
        <v>0</v>
      </c>
      <c r="J77" s="38">
        <f t="shared" si="20"/>
        <v>0</v>
      </c>
      <c r="K77" s="38">
        <f t="shared" si="20"/>
        <v>0</v>
      </c>
      <c r="L77" s="38">
        <f t="shared" si="20"/>
        <v>0</v>
      </c>
      <c r="M77" s="38">
        <f t="shared" si="20"/>
        <v>0</v>
      </c>
      <c r="N77" s="68">
        <f t="shared" si="20"/>
        <v>0</v>
      </c>
      <c r="O77" s="15"/>
      <c r="P77" s="15"/>
      <c r="Q77" s="15"/>
      <c r="R77" s="15"/>
      <c r="S77" s="15"/>
      <c r="T77" s="15"/>
      <c r="U77" s="15"/>
    </row>
    <row r="78" spans="1:21" x14ac:dyDescent="0.15">
      <c r="A78" s="70" t="s">
        <v>48</v>
      </c>
      <c r="B78" s="42"/>
      <c r="C78" s="71">
        <f>-N55*($B$35/12)</f>
        <v>0</v>
      </c>
      <c r="D78" s="71">
        <f t="shared" ref="D78:N78" si="21">-C79*($B$35/12)</f>
        <v>0</v>
      </c>
      <c r="E78" s="71">
        <f t="shared" si="21"/>
        <v>0</v>
      </c>
      <c r="F78" s="71">
        <f t="shared" si="21"/>
        <v>0</v>
      </c>
      <c r="G78" s="71">
        <f t="shared" si="21"/>
        <v>0</v>
      </c>
      <c r="H78" s="71">
        <f t="shared" si="21"/>
        <v>0</v>
      </c>
      <c r="I78" s="71">
        <f t="shared" si="21"/>
        <v>0</v>
      </c>
      <c r="J78" s="71">
        <f t="shared" si="21"/>
        <v>0</v>
      </c>
      <c r="K78" s="71">
        <f t="shared" si="21"/>
        <v>0</v>
      </c>
      <c r="L78" s="71">
        <f t="shared" si="21"/>
        <v>0</v>
      </c>
      <c r="M78" s="71">
        <f t="shared" si="21"/>
        <v>0</v>
      </c>
      <c r="N78" s="113">
        <f t="shared" si="21"/>
        <v>0</v>
      </c>
      <c r="O78" s="15"/>
      <c r="P78" s="15"/>
      <c r="Q78" s="15"/>
      <c r="R78" s="15"/>
      <c r="S78" s="15"/>
      <c r="T78" s="15"/>
      <c r="U78" s="15"/>
    </row>
    <row r="79" spans="1:21" x14ac:dyDescent="0.15">
      <c r="A79" s="37" t="s">
        <v>49</v>
      </c>
      <c r="B79" s="42"/>
      <c r="C79" s="76">
        <f>N55+SUM(C77:C78)</f>
        <v>0</v>
      </c>
      <c r="D79" s="76">
        <f>C79+SUM(D77:D78)</f>
        <v>0</v>
      </c>
      <c r="E79" s="76">
        <f t="shared" ref="E79:N79" si="22">D79+SUM(E77:E78)</f>
        <v>0</v>
      </c>
      <c r="F79" s="76">
        <f t="shared" si="22"/>
        <v>0</v>
      </c>
      <c r="G79" s="76">
        <f t="shared" si="22"/>
        <v>0</v>
      </c>
      <c r="H79" s="76">
        <f t="shared" si="22"/>
        <v>0</v>
      </c>
      <c r="I79" s="76">
        <f t="shared" si="22"/>
        <v>0</v>
      </c>
      <c r="J79" s="76">
        <f t="shared" si="22"/>
        <v>0</v>
      </c>
      <c r="K79" s="76">
        <f t="shared" si="22"/>
        <v>0</v>
      </c>
      <c r="L79" s="76">
        <f t="shared" si="22"/>
        <v>0</v>
      </c>
      <c r="M79" s="76">
        <f t="shared" si="22"/>
        <v>0</v>
      </c>
      <c r="N79" s="114">
        <f t="shared" si="22"/>
        <v>0</v>
      </c>
      <c r="O79" s="15"/>
      <c r="P79" s="15"/>
      <c r="Q79" s="15"/>
      <c r="R79" s="15"/>
      <c r="S79" s="15"/>
      <c r="T79" s="15"/>
      <c r="U79" s="15"/>
    </row>
    <row r="80" spans="1:21" x14ac:dyDescent="0.15">
      <c r="A80" s="37" t="s">
        <v>40</v>
      </c>
      <c r="B80" s="42"/>
      <c r="C80" s="40">
        <f t="shared" ref="C80:N80" si="23">ROUND(C76*$B$28,0)</f>
        <v>0</v>
      </c>
      <c r="D80" s="40">
        <f t="shared" si="23"/>
        <v>0</v>
      </c>
      <c r="E80" s="40">
        <f t="shared" si="23"/>
        <v>0</v>
      </c>
      <c r="F80" s="40">
        <f t="shared" si="23"/>
        <v>0</v>
      </c>
      <c r="G80" s="40">
        <f t="shared" si="23"/>
        <v>0</v>
      </c>
      <c r="H80" s="40">
        <f t="shared" si="23"/>
        <v>0</v>
      </c>
      <c r="I80" s="40">
        <f t="shared" si="23"/>
        <v>0</v>
      </c>
      <c r="J80" s="40">
        <f t="shared" si="23"/>
        <v>0</v>
      </c>
      <c r="K80" s="40">
        <f t="shared" si="23"/>
        <v>0</v>
      </c>
      <c r="L80" s="40">
        <f t="shared" si="23"/>
        <v>0</v>
      </c>
      <c r="M80" s="40">
        <f t="shared" si="23"/>
        <v>0</v>
      </c>
      <c r="N80" s="41">
        <f t="shared" si="23"/>
        <v>0</v>
      </c>
      <c r="O80" s="15"/>
      <c r="P80" s="15"/>
      <c r="Q80" s="15"/>
      <c r="R80" s="15"/>
      <c r="S80" s="15"/>
      <c r="T80" s="15"/>
      <c r="U80" s="15"/>
    </row>
    <row r="81" spans="1:21" x14ac:dyDescent="0.15">
      <c r="A81" s="70" t="s">
        <v>47</v>
      </c>
      <c r="B81" s="42"/>
      <c r="C81" s="71">
        <f>-N57*($B$35/12)</f>
        <v>0</v>
      </c>
      <c r="D81" s="71">
        <f t="shared" ref="D81:N81" si="24">-C82*($B$35/12)</f>
        <v>0</v>
      </c>
      <c r="E81" s="71">
        <f t="shared" si="24"/>
        <v>0</v>
      </c>
      <c r="F81" s="71">
        <f t="shared" si="24"/>
        <v>0</v>
      </c>
      <c r="G81" s="71">
        <f t="shared" si="24"/>
        <v>0</v>
      </c>
      <c r="H81" s="71">
        <f t="shared" si="24"/>
        <v>0</v>
      </c>
      <c r="I81" s="71">
        <f t="shared" si="24"/>
        <v>0</v>
      </c>
      <c r="J81" s="71">
        <f t="shared" si="24"/>
        <v>0</v>
      </c>
      <c r="K81" s="71">
        <f t="shared" si="24"/>
        <v>0</v>
      </c>
      <c r="L81" s="71">
        <f t="shared" si="24"/>
        <v>0</v>
      </c>
      <c r="M81" s="71">
        <f t="shared" si="24"/>
        <v>0</v>
      </c>
      <c r="N81" s="113">
        <f t="shared" si="24"/>
        <v>0</v>
      </c>
      <c r="O81" s="15"/>
      <c r="P81" s="15"/>
      <c r="Q81" s="15"/>
      <c r="R81" s="15"/>
      <c r="S81" s="15"/>
      <c r="T81" s="15"/>
      <c r="U81" s="15"/>
    </row>
    <row r="82" spans="1:21" x14ac:dyDescent="0.15">
      <c r="A82" s="37" t="s">
        <v>50</v>
      </c>
      <c r="B82" s="42"/>
      <c r="C82" s="40">
        <f>+N57+SUM(C80:C81)</f>
        <v>0</v>
      </c>
      <c r="D82" s="40">
        <f>+C82+SUM(D80:D81)</f>
        <v>0</v>
      </c>
      <c r="E82" s="40">
        <f>+D82+SUM(E80:E81)</f>
        <v>0</v>
      </c>
      <c r="F82" s="40">
        <f t="shared" ref="F82:N82" si="25">+E82+SUM(F80:F81)</f>
        <v>0</v>
      </c>
      <c r="G82" s="40">
        <f t="shared" si="25"/>
        <v>0</v>
      </c>
      <c r="H82" s="40">
        <f t="shared" si="25"/>
        <v>0</v>
      </c>
      <c r="I82" s="40">
        <f t="shared" si="25"/>
        <v>0</v>
      </c>
      <c r="J82" s="40">
        <f t="shared" si="25"/>
        <v>0</v>
      </c>
      <c r="K82" s="40">
        <f t="shared" si="25"/>
        <v>0</v>
      </c>
      <c r="L82" s="40">
        <f t="shared" si="25"/>
        <v>0</v>
      </c>
      <c r="M82" s="40">
        <f t="shared" si="25"/>
        <v>0</v>
      </c>
      <c r="N82" s="41">
        <f t="shared" si="25"/>
        <v>0</v>
      </c>
      <c r="O82" s="15"/>
      <c r="P82" s="15"/>
      <c r="Q82" s="15"/>
      <c r="R82" s="15"/>
      <c r="S82" s="15"/>
      <c r="T82" s="15"/>
      <c r="U82" s="15"/>
    </row>
    <row r="83" spans="1:21" x14ac:dyDescent="0.15">
      <c r="A83" s="45" t="s">
        <v>45</v>
      </c>
      <c r="B83" s="42"/>
      <c r="C83" s="65">
        <f>C82+C79</f>
        <v>0</v>
      </c>
      <c r="D83" s="65">
        <f t="shared" ref="D83:N83" si="26">D82+D79</f>
        <v>0</v>
      </c>
      <c r="E83" s="65">
        <f t="shared" si="26"/>
        <v>0</v>
      </c>
      <c r="F83" s="65">
        <f t="shared" si="26"/>
        <v>0</v>
      </c>
      <c r="G83" s="65">
        <f t="shared" si="26"/>
        <v>0</v>
      </c>
      <c r="H83" s="65">
        <f t="shared" si="26"/>
        <v>0</v>
      </c>
      <c r="I83" s="65">
        <f t="shared" si="26"/>
        <v>0</v>
      </c>
      <c r="J83" s="65">
        <f t="shared" si="26"/>
        <v>0</v>
      </c>
      <c r="K83" s="65">
        <f t="shared" si="26"/>
        <v>0</v>
      </c>
      <c r="L83" s="65">
        <f t="shared" si="26"/>
        <v>0</v>
      </c>
      <c r="M83" s="65">
        <f t="shared" si="26"/>
        <v>0</v>
      </c>
      <c r="N83" s="101">
        <f t="shared" si="26"/>
        <v>0</v>
      </c>
      <c r="O83" s="66"/>
      <c r="P83" s="15"/>
      <c r="Q83" s="15"/>
      <c r="R83" s="15"/>
      <c r="S83" s="15"/>
      <c r="T83" s="15"/>
      <c r="U83" s="15"/>
    </row>
    <row r="84" spans="1:21" x14ac:dyDescent="0.15">
      <c r="A84" s="37" t="s">
        <v>20</v>
      </c>
      <c r="B84" s="42"/>
      <c r="C84" s="43">
        <f t="shared" ref="C84:N84" si="27">C79*$B$32</f>
        <v>0</v>
      </c>
      <c r="D84" s="43">
        <f t="shared" si="27"/>
        <v>0</v>
      </c>
      <c r="E84" s="43">
        <f t="shared" si="27"/>
        <v>0</v>
      </c>
      <c r="F84" s="43">
        <f t="shared" si="27"/>
        <v>0</v>
      </c>
      <c r="G84" s="43">
        <f t="shared" si="27"/>
        <v>0</v>
      </c>
      <c r="H84" s="43">
        <f t="shared" si="27"/>
        <v>0</v>
      </c>
      <c r="I84" s="43">
        <f t="shared" si="27"/>
        <v>0</v>
      </c>
      <c r="J84" s="43">
        <f t="shared" si="27"/>
        <v>0</v>
      </c>
      <c r="K84" s="43">
        <f t="shared" si="27"/>
        <v>0</v>
      </c>
      <c r="L84" s="43">
        <f t="shared" si="27"/>
        <v>0</v>
      </c>
      <c r="M84" s="43">
        <f t="shared" si="27"/>
        <v>0</v>
      </c>
      <c r="N84" s="102">
        <f t="shared" si="27"/>
        <v>0</v>
      </c>
      <c r="O84" s="15"/>
      <c r="P84" s="15"/>
      <c r="Q84" s="15"/>
      <c r="R84" s="15"/>
      <c r="S84" s="15"/>
      <c r="T84" s="15"/>
      <c r="U84" s="15"/>
    </row>
    <row r="85" spans="1:21" x14ac:dyDescent="0.15">
      <c r="A85" s="37" t="s">
        <v>17</v>
      </c>
      <c r="B85" s="42"/>
      <c r="C85" s="43">
        <f t="shared" ref="C85:N85" si="28">(C82*$B$33)</f>
        <v>0</v>
      </c>
      <c r="D85" s="43">
        <f t="shared" si="28"/>
        <v>0</v>
      </c>
      <c r="E85" s="43">
        <f t="shared" si="28"/>
        <v>0</v>
      </c>
      <c r="F85" s="43">
        <f t="shared" si="28"/>
        <v>0</v>
      </c>
      <c r="G85" s="43">
        <f t="shared" si="28"/>
        <v>0</v>
      </c>
      <c r="H85" s="43">
        <f t="shared" si="28"/>
        <v>0</v>
      </c>
      <c r="I85" s="43">
        <f t="shared" si="28"/>
        <v>0</v>
      </c>
      <c r="J85" s="43">
        <f t="shared" si="28"/>
        <v>0</v>
      </c>
      <c r="K85" s="43">
        <f t="shared" si="28"/>
        <v>0</v>
      </c>
      <c r="L85" s="43">
        <f t="shared" si="28"/>
        <v>0</v>
      </c>
      <c r="M85" s="43">
        <f t="shared" si="28"/>
        <v>0</v>
      </c>
      <c r="N85" s="102">
        <f t="shared" si="28"/>
        <v>0</v>
      </c>
      <c r="O85" s="15"/>
      <c r="P85" s="15"/>
      <c r="Q85" s="15"/>
      <c r="R85" s="15"/>
      <c r="S85" s="15"/>
      <c r="T85" s="15"/>
      <c r="U85" s="15"/>
    </row>
    <row r="86" spans="1:21" x14ac:dyDescent="0.15">
      <c r="A86" s="37" t="s">
        <v>18</v>
      </c>
      <c r="B86" s="42"/>
      <c r="C86" s="26">
        <f>SUM(C84:C85)</f>
        <v>0</v>
      </c>
      <c r="D86" s="26">
        <f t="shared" ref="D86:N86" si="29">SUM(D84:D85)</f>
        <v>0</v>
      </c>
      <c r="E86" s="26">
        <f t="shared" si="29"/>
        <v>0</v>
      </c>
      <c r="F86" s="26">
        <f t="shared" si="29"/>
        <v>0</v>
      </c>
      <c r="G86" s="26">
        <f t="shared" si="29"/>
        <v>0</v>
      </c>
      <c r="H86" s="26">
        <f t="shared" si="29"/>
        <v>0</v>
      </c>
      <c r="I86" s="26">
        <f t="shared" si="29"/>
        <v>0</v>
      </c>
      <c r="J86" s="26">
        <f t="shared" si="29"/>
        <v>0</v>
      </c>
      <c r="K86" s="26">
        <f t="shared" si="29"/>
        <v>0</v>
      </c>
      <c r="L86" s="26">
        <f t="shared" si="29"/>
        <v>0</v>
      </c>
      <c r="M86" s="26">
        <f t="shared" si="29"/>
        <v>0</v>
      </c>
      <c r="N86" s="27">
        <f t="shared" si="29"/>
        <v>0</v>
      </c>
      <c r="O86" s="15"/>
      <c r="P86" s="15"/>
      <c r="Q86" s="15"/>
      <c r="R86" s="15"/>
      <c r="S86" s="15"/>
      <c r="T86" s="15"/>
      <c r="U86" s="15"/>
    </row>
    <row r="87" spans="1:21" x14ac:dyDescent="0.15">
      <c r="A87" s="37" t="s">
        <v>54</v>
      </c>
      <c r="B87" s="42"/>
      <c r="C87" s="26">
        <f t="shared" ref="C87:N87" si="30">(+C83*$B$40)+(C83*$B$41)+(C83*$B$42)</f>
        <v>0</v>
      </c>
      <c r="D87" s="26">
        <f t="shared" si="30"/>
        <v>0</v>
      </c>
      <c r="E87" s="26">
        <f t="shared" si="30"/>
        <v>0</v>
      </c>
      <c r="F87" s="26">
        <f t="shared" si="30"/>
        <v>0</v>
      </c>
      <c r="G87" s="26">
        <f t="shared" si="30"/>
        <v>0</v>
      </c>
      <c r="H87" s="26">
        <f t="shared" si="30"/>
        <v>0</v>
      </c>
      <c r="I87" s="26">
        <f t="shared" si="30"/>
        <v>0</v>
      </c>
      <c r="J87" s="26">
        <f t="shared" si="30"/>
        <v>0</v>
      </c>
      <c r="K87" s="26">
        <f t="shared" si="30"/>
        <v>0</v>
      </c>
      <c r="L87" s="26">
        <f t="shared" si="30"/>
        <v>0</v>
      </c>
      <c r="M87" s="26">
        <f t="shared" si="30"/>
        <v>0</v>
      </c>
      <c r="N87" s="27">
        <f t="shared" si="30"/>
        <v>0</v>
      </c>
      <c r="O87" s="15"/>
      <c r="P87" s="15"/>
      <c r="Q87" s="15"/>
      <c r="R87" s="15"/>
      <c r="S87" s="15"/>
      <c r="T87" s="15"/>
      <c r="U87" s="15"/>
    </row>
    <row r="88" spans="1:21" x14ac:dyDescent="0.15">
      <c r="A88" s="37" t="s">
        <v>39</v>
      </c>
      <c r="B88" s="42"/>
      <c r="C88" s="28">
        <f t="shared" ref="C88:N88" si="31">C83*$B$39</f>
        <v>0</v>
      </c>
      <c r="D88" s="28">
        <f t="shared" si="31"/>
        <v>0</v>
      </c>
      <c r="E88" s="28">
        <f t="shared" si="31"/>
        <v>0</v>
      </c>
      <c r="F88" s="28">
        <f t="shared" si="31"/>
        <v>0</v>
      </c>
      <c r="G88" s="28">
        <f t="shared" si="31"/>
        <v>0</v>
      </c>
      <c r="H88" s="28">
        <f t="shared" si="31"/>
        <v>0</v>
      </c>
      <c r="I88" s="28">
        <f t="shared" si="31"/>
        <v>0</v>
      </c>
      <c r="J88" s="28">
        <f t="shared" si="31"/>
        <v>0</v>
      </c>
      <c r="K88" s="28">
        <f t="shared" si="31"/>
        <v>0</v>
      </c>
      <c r="L88" s="28">
        <f t="shared" si="31"/>
        <v>0</v>
      </c>
      <c r="M88" s="28">
        <f t="shared" si="31"/>
        <v>0</v>
      </c>
      <c r="N88" s="69">
        <f t="shared" si="31"/>
        <v>0</v>
      </c>
      <c r="O88" s="15"/>
      <c r="P88" s="15"/>
      <c r="Q88" s="15"/>
      <c r="R88" s="15"/>
      <c r="S88" s="15"/>
      <c r="T88" s="15"/>
      <c r="U88" s="15"/>
    </row>
    <row r="89" spans="1:21" x14ac:dyDescent="0.15">
      <c r="A89" s="37" t="s">
        <v>37</v>
      </c>
      <c r="B89" s="55"/>
      <c r="C89" s="44">
        <f t="shared" ref="C89:N89" si="32">C76*$B$31</f>
        <v>0</v>
      </c>
      <c r="D89" s="44">
        <f t="shared" si="32"/>
        <v>0</v>
      </c>
      <c r="E89" s="44">
        <f t="shared" si="32"/>
        <v>0</v>
      </c>
      <c r="F89" s="44">
        <f t="shared" si="32"/>
        <v>0</v>
      </c>
      <c r="G89" s="44">
        <f t="shared" si="32"/>
        <v>0</v>
      </c>
      <c r="H89" s="44">
        <f t="shared" si="32"/>
        <v>0</v>
      </c>
      <c r="I89" s="44">
        <f t="shared" si="32"/>
        <v>0</v>
      </c>
      <c r="J89" s="44">
        <f t="shared" si="32"/>
        <v>0</v>
      </c>
      <c r="K89" s="44">
        <f t="shared" si="32"/>
        <v>0</v>
      </c>
      <c r="L89" s="44">
        <f t="shared" si="32"/>
        <v>0</v>
      </c>
      <c r="M89" s="44">
        <f t="shared" si="32"/>
        <v>0</v>
      </c>
      <c r="N89" s="104">
        <f t="shared" si="32"/>
        <v>0</v>
      </c>
      <c r="O89" s="15"/>
      <c r="P89" s="15"/>
      <c r="Q89" s="15"/>
      <c r="R89" s="15"/>
      <c r="S89" s="15"/>
      <c r="T89" s="15"/>
      <c r="U89" s="15"/>
    </row>
    <row r="90" spans="1:21" ht="16" x14ac:dyDescent="0.2">
      <c r="A90" s="45" t="s">
        <v>3</v>
      </c>
      <c r="B90" s="42"/>
      <c r="C90" s="56">
        <f>SUM(C86:C89)</f>
        <v>0</v>
      </c>
      <c r="D90" s="57">
        <f t="shared" ref="D90:N90" si="33">SUM(D86:D89)</f>
        <v>0</v>
      </c>
      <c r="E90" s="57">
        <f t="shared" si="33"/>
        <v>0</v>
      </c>
      <c r="F90" s="57">
        <f t="shared" si="33"/>
        <v>0</v>
      </c>
      <c r="G90" s="57">
        <f t="shared" si="33"/>
        <v>0</v>
      </c>
      <c r="H90" s="57">
        <f t="shared" si="33"/>
        <v>0</v>
      </c>
      <c r="I90" s="57">
        <f t="shared" si="33"/>
        <v>0</v>
      </c>
      <c r="J90" s="57">
        <f t="shared" si="33"/>
        <v>0</v>
      </c>
      <c r="K90" s="57">
        <f>SUM(K86:K89)</f>
        <v>0</v>
      </c>
      <c r="L90" s="57">
        <f t="shared" si="33"/>
        <v>0</v>
      </c>
      <c r="M90" s="57">
        <f t="shared" si="33"/>
        <v>0</v>
      </c>
      <c r="N90" s="58">
        <f t="shared" si="33"/>
        <v>0</v>
      </c>
      <c r="O90" s="15"/>
      <c r="P90" s="15"/>
      <c r="Q90" s="15"/>
      <c r="R90" s="15"/>
      <c r="S90" s="15"/>
      <c r="T90" s="15"/>
      <c r="U90" s="15"/>
    </row>
    <row r="91" spans="1:21" x14ac:dyDescent="0.15">
      <c r="A91" s="37" t="s">
        <v>15</v>
      </c>
      <c r="B91" s="42"/>
      <c r="C91" s="29">
        <f>(C86*0.05)+((C88+C89)*0.015)</f>
        <v>0</v>
      </c>
      <c r="D91" s="29">
        <f t="shared" ref="D91:N91" si="34">(D86*0.05)+((D88+D89)*0.015)</f>
        <v>0</v>
      </c>
      <c r="E91" s="29">
        <f t="shared" si="34"/>
        <v>0</v>
      </c>
      <c r="F91" s="29">
        <f t="shared" si="34"/>
        <v>0</v>
      </c>
      <c r="G91" s="29">
        <f t="shared" si="34"/>
        <v>0</v>
      </c>
      <c r="H91" s="29">
        <f t="shared" si="34"/>
        <v>0</v>
      </c>
      <c r="I91" s="29">
        <f t="shared" si="34"/>
        <v>0</v>
      </c>
      <c r="J91" s="29">
        <f t="shared" si="34"/>
        <v>0</v>
      </c>
      <c r="K91" s="29">
        <f t="shared" si="34"/>
        <v>0</v>
      </c>
      <c r="L91" s="29">
        <f t="shared" si="34"/>
        <v>0</v>
      </c>
      <c r="M91" s="29">
        <f t="shared" si="34"/>
        <v>0</v>
      </c>
      <c r="N91" s="106">
        <f t="shared" si="34"/>
        <v>0</v>
      </c>
      <c r="O91" s="15"/>
      <c r="P91" s="15"/>
      <c r="Q91" s="15"/>
      <c r="R91" s="15"/>
      <c r="S91" s="15"/>
      <c r="T91" s="15"/>
      <c r="U91" s="15"/>
    </row>
    <row r="92" spans="1:21" x14ac:dyDescent="0.15">
      <c r="A92" s="37" t="s">
        <v>41</v>
      </c>
      <c r="B92" s="42"/>
      <c r="C92" s="29">
        <f t="shared" ref="C92:N92" si="35">C76*$B$46</f>
        <v>0</v>
      </c>
      <c r="D92" s="29">
        <f t="shared" si="35"/>
        <v>0</v>
      </c>
      <c r="E92" s="29">
        <f t="shared" si="35"/>
        <v>0</v>
      </c>
      <c r="F92" s="29">
        <f t="shared" si="35"/>
        <v>0</v>
      </c>
      <c r="G92" s="29">
        <f t="shared" si="35"/>
        <v>0</v>
      </c>
      <c r="H92" s="29">
        <f t="shared" si="35"/>
        <v>0</v>
      </c>
      <c r="I92" s="29">
        <f t="shared" si="35"/>
        <v>0</v>
      </c>
      <c r="J92" s="29">
        <f t="shared" si="35"/>
        <v>0</v>
      </c>
      <c r="K92" s="29">
        <f t="shared" si="35"/>
        <v>0</v>
      </c>
      <c r="L92" s="29">
        <f t="shared" si="35"/>
        <v>0</v>
      </c>
      <c r="M92" s="29">
        <f t="shared" si="35"/>
        <v>0</v>
      </c>
      <c r="N92" s="106">
        <f t="shared" si="35"/>
        <v>0</v>
      </c>
      <c r="O92" s="15"/>
      <c r="P92" s="15"/>
      <c r="Q92" s="15"/>
      <c r="R92" s="15"/>
      <c r="S92" s="15"/>
      <c r="T92" s="15"/>
      <c r="U92" s="15"/>
    </row>
    <row r="93" spans="1:21" x14ac:dyDescent="0.15">
      <c r="A93" s="37" t="s">
        <v>32</v>
      </c>
      <c r="B93" s="48"/>
      <c r="C93" s="29">
        <f t="shared" ref="C93:N93" si="36">$B$47*C86</f>
        <v>0</v>
      </c>
      <c r="D93" s="29">
        <f t="shared" si="36"/>
        <v>0</v>
      </c>
      <c r="E93" s="29">
        <f t="shared" si="36"/>
        <v>0</v>
      </c>
      <c r="F93" s="29">
        <f t="shared" si="36"/>
        <v>0</v>
      </c>
      <c r="G93" s="29">
        <f t="shared" si="36"/>
        <v>0</v>
      </c>
      <c r="H93" s="29">
        <f t="shared" si="36"/>
        <v>0</v>
      </c>
      <c r="I93" s="29">
        <f t="shared" si="36"/>
        <v>0</v>
      </c>
      <c r="J93" s="29">
        <f t="shared" si="36"/>
        <v>0</v>
      </c>
      <c r="K93" s="29">
        <f t="shared" si="36"/>
        <v>0</v>
      </c>
      <c r="L93" s="29">
        <f t="shared" si="36"/>
        <v>0</v>
      </c>
      <c r="M93" s="29">
        <f t="shared" si="36"/>
        <v>0</v>
      </c>
      <c r="N93" s="106">
        <f t="shared" si="36"/>
        <v>0</v>
      </c>
      <c r="O93" s="15"/>
      <c r="P93" s="15"/>
      <c r="Q93" s="15"/>
      <c r="R93" s="15"/>
      <c r="S93" s="15"/>
      <c r="T93" s="15"/>
      <c r="U93" s="15"/>
    </row>
    <row r="94" spans="1:21" x14ac:dyDescent="0.15">
      <c r="A94" s="78" t="s">
        <v>55</v>
      </c>
      <c r="B94" s="48"/>
      <c r="C94" s="29">
        <f t="shared" ref="C94:N94" si="37">($B$40*C83)*$B$45</f>
        <v>0</v>
      </c>
      <c r="D94" s="29">
        <f t="shared" si="37"/>
        <v>0</v>
      </c>
      <c r="E94" s="29">
        <f t="shared" si="37"/>
        <v>0</v>
      </c>
      <c r="F94" s="29">
        <f t="shared" si="37"/>
        <v>0</v>
      </c>
      <c r="G94" s="29">
        <f t="shared" si="37"/>
        <v>0</v>
      </c>
      <c r="H94" s="29">
        <f t="shared" si="37"/>
        <v>0</v>
      </c>
      <c r="I94" s="29">
        <f t="shared" si="37"/>
        <v>0</v>
      </c>
      <c r="J94" s="29">
        <f t="shared" si="37"/>
        <v>0</v>
      </c>
      <c r="K94" s="29">
        <f t="shared" si="37"/>
        <v>0</v>
      </c>
      <c r="L94" s="29">
        <f t="shared" si="37"/>
        <v>0</v>
      </c>
      <c r="M94" s="29">
        <f t="shared" si="37"/>
        <v>0</v>
      </c>
      <c r="N94" s="106">
        <f t="shared" si="37"/>
        <v>0</v>
      </c>
      <c r="O94" s="15"/>
      <c r="P94" s="15"/>
      <c r="Q94" s="15"/>
      <c r="R94" s="15"/>
      <c r="S94" s="15"/>
      <c r="T94" s="15"/>
      <c r="U94" s="15"/>
    </row>
    <row r="95" spans="1:21" x14ac:dyDescent="0.15">
      <c r="A95" s="37" t="s">
        <v>8</v>
      </c>
      <c r="B95" s="42"/>
      <c r="C95" s="59">
        <f t="shared" ref="C95:N95" si="38">$B$23</f>
        <v>0</v>
      </c>
      <c r="D95" s="59">
        <f t="shared" si="38"/>
        <v>0</v>
      </c>
      <c r="E95" s="59">
        <f t="shared" si="38"/>
        <v>0</v>
      </c>
      <c r="F95" s="59">
        <f t="shared" si="38"/>
        <v>0</v>
      </c>
      <c r="G95" s="59">
        <f t="shared" si="38"/>
        <v>0</v>
      </c>
      <c r="H95" s="59">
        <f t="shared" si="38"/>
        <v>0</v>
      </c>
      <c r="I95" s="59">
        <f t="shared" si="38"/>
        <v>0</v>
      </c>
      <c r="J95" s="59">
        <f t="shared" si="38"/>
        <v>0</v>
      </c>
      <c r="K95" s="59">
        <f t="shared" si="38"/>
        <v>0</v>
      </c>
      <c r="L95" s="59">
        <f t="shared" si="38"/>
        <v>0</v>
      </c>
      <c r="M95" s="59">
        <f t="shared" si="38"/>
        <v>0</v>
      </c>
      <c r="N95" s="115">
        <f t="shared" si="38"/>
        <v>0</v>
      </c>
      <c r="O95" s="15"/>
      <c r="P95" s="15"/>
      <c r="Q95" s="15"/>
      <c r="R95" s="15"/>
      <c r="S95" s="15"/>
      <c r="T95" s="15"/>
      <c r="U95" s="15"/>
    </row>
    <row r="96" spans="1:21" ht="16" x14ac:dyDescent="0.2">
      <c r="A96" s="45" t="s">
        <v>42</v>
      </c>
      <c r="B96" s="42"/>
      <c r="C96" s="49">
        <f>SUM(C91:C95)-(IF($B$25&gt;12,$B$8,0))</f>
        <v>0</v>
      </c>
      <c r="D96" s="49">
        <f>SUM(D91:D95)-(IF($B$25&gt;13,$B$8,0))</f>
        <v>0</v>
      </c>
      <c r="E96" s="49">
        <f>SUM(E91:E95)-(IF($B$25&gt;14,$B$8,0))</f>
        <v>0</v>
      </c>
      <c r="F96" s="49">
        <f>SUM(F91:F95)-(IF($B$25&gt;15,$B$8,0))</f>
        <v>0</v>
      </c>
      <c r="G96" s="49">
        <f>SUM(G91:G95)-(IF($B$25&gt;16,$B$8,0))</f>
        <v>0</v>
      </c>
      <c r="H96" s="49">
        <f>SUM(H91:H95)-(IF($B$25&gt;17,$B$8,0))</f>
        <v>0</v>
      </c>
      <c r="I96" s="49">
        <f>SUM(I91:I95)-(IF($B$25&gt;18,$B$8,0))</f>
        <v>0</v>
      </c>
      <c r="J96" s="49">
        <f>SUM(J91:J95)-(IF($B$25&gt;19,$B$8,0))</f>
        <v>0</v>
      </c>
      <c r="K96" s="49">
        <f>SUM(K91:K95)-(IF($B$25&gt;20,$B$8,0))</f>
        <v>0</v>
      </c>
      <c r="L96" s="49">
        <f>SUM(L91:L95)-(IF($B$25&gt;21,$B$8,0))</f>
        <v>0</v>
      </c>
      <c r="M96" s="49">
        <f>SUM(M91:M95)-(IF($B$25&gt;22,$B$8,0))</f>
        <v>0</v>
      </c>
      <c r="N96" s="108">
        <f>SUM(N91:N95)-(IF($B$25&gt;23,$B$8,0))</f>
        <v>0</v>
      </c>
      <c r="O96" s="15"/>
      <c r="P96" s="15"/>
      <c r="Q96" s="15"/>
      <c r="R96" s="15"/>
      <c r="S96" s="15"/>
      <c r="T96" s="15"/>
      <c r="U96" s="15"/>
    </row>
    <row r="97" spans="1:21" x14ac:dyDescent="0.15">
      <c r="A97" s="37" t="s">
        <v>4</v>
      </c>
      <c r="B97" s="42"/>
      <c r="C97" s="29">
        <f>SUM(C90-C96)</f>
        <v>0</v>
      </c>
      <c r="D97" s="29">
        <f t="shared" ref="D97:N97" si="39">SUM(D90-D96)</f>
        <v>0</v>
      </c>
      <c r="E97" s="29">
        <f t="shared" si="39"/>
        <v>0</v>
      </c>
      <c r="F97" s="29">
        <f t="shared" si="39"/>
        <v>0</v>
      </c>
      <c r="G97" s="29">
        <f t="shared" si="39"/>
        <v>0</v>
      </c>
      <c r="H97" s="29">
        <f t="shared" si="39"/>
        <v>0</v>
      </c>
      <c r="I97" s="29">
        <f t="shared" si="39"/>
        <v>0</v>
      </c>
      <c r="J97" s="29">
        <f t="shared" si="39"/>
        <v>0</v>
      </c>
      <c r="K97" s="29">
        <f t="shared" si="39"/>
        <v>0</v>
      </c>
      <c r="L97" s="29">
        <f t="shared" si="39"/>
        <v>0</v>
      </c>
      <c r="M97" s="29">
        <f t="shared" si="39"/>
        <v>0</v>
      </c>
      <c r="N97" s="106">
        <f t="shared" si="39"/>
        <v>0</v>
      </c>
      <c r="O97" s="15"/>
      <c r="P97" s="15"/>
      <c r="Q97" s="15"/>
      <c r="R97" s="15"/>
      <c r="S97" s="15"/>
      <c r="T97" s="15"/>
      <c r="U97" s="15"/>
    </row>
    <row r="98" spans="1:21" ht="15" thickBot="1" x14ac:dyDescent="0.2">
      <c r="A98" s="50" t="s">
        <v>0</v>
      </c>
      <c r="B98" s="116"/>
      <c r="C98" s="52">
        <f>N73+C97</f>
        <v>0</v>
      </c>
      <c r="D98" s="51">
        <f>+C98+D97</f>
        <v>0</v>
      </c>
      <c r="E98" s="51">
        <f t="shared" ref="E98:N98" si="40">+D98+E97</f>
        <v>0</v>
      </c>
      <c r="F98" s="51">
        <f t="shared" si="40"/>
        <v>0</v>
      </c>
      <c r="G98" s="51">
        <f t="shared" si="40"/>
        <v>0</v>
      </c>
      <c r="H98" s="51">
        <f t="shared" si="40"/>
        <v>0</v>
      </c>
      <c r="I98" s="51">
        <f t="shared" si="40"/>
        <v>0</v>
      </c>
      <c r="J98" s="51">
        <f t="shared" si="40"/>
        <v>0</v>
      </c>
      <c r="K98" s="51">
        <f t="shared" si="40"/>
        <v>0</v>
      </c>
      <c r="L98" s="51">
        <f t="shared" si="40"/>
        <v>0</v>
      </c>
      <c r="M98" s="51">
        <f t="shared" si="40"/>
        <v>0</v>
      </c>
      <c r="N98" s="53">
        <f t="shared" si="40"/>
        <v>0</v>
      </c>
      <c r="O98" s="15"/>
      <c r="P98" s="15"/>
      <c r="Q98" s="15"/>
      <c r="R98" s="15"/>
      <c r="S98" s="15"/>
      <c r="T98" s="15"/>
      <c r="U98" s="15"/>
    </row>
    <row r="99" spans="1:21" ht="15" thickBot="1" x14ac:dyDescent="0.2">
      <c r="A99" s="13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x14ac:dyDescent="0.15">
      <c r="A100" s="110" t="s">
        <v>25</v>
      </c>
      <c r="B100" s="111"/>
      <c r="C100" s="94" t="s">
        <v>81</v>
      </c>
      <c r="D100" s="54" t="s">
        <v>82</v>
      </c>
      <c r="E100" s="94" t="s">
        <v>83</v>
      </c>
      <c r="F100" s="54" t="s">
        <v>84</v>
      </c>
      <c r="G100" s="94" t="s">
        <v>85</v>
      </c>
      <c r="H100" s="54" t="s">
        <v>86</v>
      </c>
      <c r="I100" s="94" t="s">
        <v>87</v>
      </c>
      <c r="J100" s="54" t="s">
        <v>88</v>
      </c>
      <c r="K100" s="94" t="s">
        <v>89</v>
      </c>
      <c r="L100" s="54" t="s">
        <v>90</v>
      </c>
      <c r="M100" s="94" t="s">
        <v>91</v>
      </c>
      <c r="N100" s="54" t="s">
        <v>92</v>
      </c>
      <c r="O100" s="15"/>
      <c r="P100" s="15"/>
      <c r="Q100" s="15"/>
      <c r="R100" s="15"/>
      <c r="S100" s="15"/>
      <c r="T100" s="15"/>
      <c r="U100" s="15"/>
    </row>
    <row r="101" spans="1:21" s="4" customFormat="1" x14ac:dyDescent="0.15">
      <c r="A101" s="37" t="s">
        <v>38</v>
      </c>
      <c r="B101" s="39"/>
      <c r="C101" s="89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1"/>
      <c r="O101" s="15"/>
      <c r="P101" s="15"/>
      <c r="Q101" s="15"/>
      <c r="R101" s="15"/>
      <c r="S101" s="15"/>
      <c r="T101" s="15"/>
      <c r="U101" s="15"/>
    </row>
    <row r="102" spans="1:21" x14ac:dyDescent="0.15">
      <c r="A102" s="37" t="s">
        <v>24</v>
      </c>
      <c r="B102" s="42"/>
      <c r="C102" s="38">
        <f t="shared" ref="C102:N102" si="41">ROUND((C101*(1-$B$28)),0)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38">
        <f t="shared" si="41"/>
        <v>0</v>
      </c>
      <c r="J102" s="38">
        <f t="shared" si="41"/>
        <v>0</v>
      </c>
      <c r="K102" s="38">
        <f t="shared" si="41"/>
        <v>0</v>
      </c>
      <c r="L102" s="38">
        <f t="shared" si="41"/>
        <v>0</v>
      </c>
      <c r="M102" s="38">
        <f t="shared" si="41"/>
        <v>0</v>
      </c>
      <c r="N102" s="68">
        <f t="shared" si="41"/>
        <v>0</v>
      </c>
      <c r="O102" s="15"/>
      <c r="P102" s="15"/>
      <c r="Q102" s="15"/>
      <c r="R102" s="15"/>
      <c r="S102" s="15"/>
      <c r="T102" s="15"/>
      <c r="U102" s="15"/>
    </row>
    <row r="103" spans="1:21" x14ac:dyDescent="0.15">
      <c r="A103" s="70" t="s">
        <v>48</v>
      </c>
      <c r="B103" s="42"/>
      <c r="C103" s="71">
        <f>-N79*($B$35/12)</f>
        <v>0</v>
      </c>
      <c r="D103" s="71">
        <f t="shared" ref="D103:N103" si="42">-C104*($B$35/12)</f>
        <v>0</v>
      </c>
      <c r="E103" s="71">
        <f t="shared" si="42"/>
        <v>0</v>
      </c>
      <c r="F103" s="71">
        <f t="shared" si="42"/>
        <v>0</v>
      </c>
      <c r="G103" s="71">
        <f t="shared" si="42"/>
        <v>0</v>
      </c>
      <c r="H103" s="71">
        <f t="shared" si="42"/>
        <v>0</v>
      </c>
      <c r="I103" s="71">
        <f t="shared" si="42"/>
        <v>0</v>
      </c>
      <c r="J103" s="71">
        <f t="shared" si="42"/>
        <v>0</v>
      </c>
      <c r="K103" s="71">
        <f t="shared" si="42"/>
        <v>0</v>
      </c>
      <c r="L103" s="71">
        <f t="shared" si="42"/>
        <v>0</v>
      </c>
      <c r="M103" s="71">
        <f t="shared" si="42"/>
        <v>0</v>
      </c>
      <c r="N103" s="113">
        <f t="shared" si="42"/>
        <v>0</v>
      </c>
      <c r="O103" s="15"/>
      <c r="P103" s="15"/>
      <c r="Q103" s="15"/>
      <c r="R103" s="15"/>
      <c r="S103" s="15"/>
      <c r="T103" s="15"/>
      <c r="U103" s="15"/>
    </row>
    <row r="104" spans="1:21" x14ac:dyDescent="0.15">
      <c r="A104" s="37" t="s">
        <v>49</v>
      </c>
      <c r="B104" s="42"/>
      <c r="C104" s="77">
        <f>N79+SUM(C102:C103)</f>
        <v>0</v>
      </c>
      <c r="D104" s="76">
        <f>C104+SUM(D102:D103)</f>
        <v>0</v>
      </c>
      <c r="E104" s="76">
        <f t="shared" ref="E104:N104" si="43">D104+SUM(E102:E103)</f>
        <v>0</v>
      </c>
      <c r="F104" s="76">
        <f t="shared" si="43"/>
        <v>0</v>
      </c>
      <c r="G104" s="76">
        <f t="shared" si="43"/>
        <v>0</v>
      </c>
      <c r="H104" s="76">
        <f t="shared" si="43"/>
        <v>0</v>
      </c>
      <c r="I104" s="76">
        <f t="shared" si="43"/>
        <v>0</v>
      </c>
      <c r="J104" s="76">
        <f t="shared" si="43"/>
        <v>0</v>
      </c>
      <c r="K104" s="76">
        <f t="shared" si="43"/>
        <v>0</v>
      </c>
      <c r="L104" s="76">
        <f t="shared" si="43"/>
        <v>0</v>
      </c>
      <c r="M104" s="76">
        <f t="shared" si="43"/>
        <v>0</v>
      </c>
      <c r="N104" s="114">
        <f t="shared" si="43"/>
        <v>0</v>
      </c>
      <c r="O104" s="15"/>
      <c r="P104" s="15"/>
      <c r="Q104" s="15"/>
      <c r="R104" s="15"/>
      <c r="S104" s="15"/>
      <c r="T104" s="15"/>
      <c r="U104" s="15"/>
    </row>
    <row r="105" spans="1:21" x14ac:dyDescent="0.15">
      <c r="A105" s="37" t="s">
        <v>40</v>
      </c>
      <c r="B105" s="42"/>
      <c r="C105" s="40">
        <f t="shared" ref="C105:N105" si="44">ROUND(C101*$B$28,0)</f>
        <v>0</v>
      </c>
      <c r="D105" s="40">
        <f t="shared" si="44"/>
        <v>0</v>
      </c>
      <c r="E105" s="40">
        <f t="shared" si="44"/>
        <v>0</v>
      </c>
      <c r="F105" s="40">
        <f t="shared" si="44"/>
        <v>0</v>
      </c>
      <c r="G105" s="40">
        <f t="shared" si="44"/>
        <v>0</v>
      </c>
      <c r="H105" s="40">
        <f t="shared" si="44"/>
        <v>0</v>
      </c>
      <c r="I105" s="40">
        <f t="shared" si="44"/>
        <v>0</v>
      </c>
      <c r="J105" s="40">
        <f t="shared" si="44"/>
        <v>0</v>
      </c>
      <c r="K105" s="40">
        <f t="shared" si="44"/>
        <v>0</v>
      </c>
      <c r="L105" s="40">
        <f t="shared" si="44"/>
        <v>0</v>
      </c>
      <c r="M105" s="40">
        <f t="shared" si="44"/>
        <v>0</v>
      </c>
      <c r="N105" s="41">
        <f t="shared" si="44"/>
        <v>0</v>
      </c>
      <c r="O105" s="15"/>
      <c r="P105" s="15"/>
      <c r="Q105" s="15"/>
      <c r="R105" s="15"/>
      <c r="S105" s="15"/>
      <c r="T105" s="15"/>
      <c r="U105" s="15"/>
    </row>
    <row r="106" spans="1:21" x14ac:dyDescent="0.15">
      <c r="A106" s="70" t="s">
        <v>47</v>
      </c>
      <c r="B106" s="74"/>
      <c r="C106" s="71">
        <f>-N82*($B$35/12)</f>
        <v>0</v>
      </c>
      <c r="D106" s="71">
        <f t="shared" ref="D106:N106" si="45">-C107*($B$35/12)</f>
        <v>0</v>
      </c>
      <c r="E106" s="71">
        <f t="shared" si="45"/>
        <v>0</v>
      </c>
      <c r="F106" s="71">
        <f t="shared" si="45"/>
        <v>0</v>
      </c>
      <c r="G106" s="71">
        <f t="shared" si="45"/>
        <v>0</v>
      </c>
      <c r="H106" s="71">
        <f t="shared" si="45"/>
        <v>0</v>
      </c>
      <c r="I106" s="71">
        <f t="shared" si="45"/>
        <v>0</v>
      </c>
      <c r="J106" s="71">
        <f t="shared" si="45"/>
        <v>0</v>
      </c>
      <c r="K106" s="71">
        <f t="shared" si="45"/>
        <v>0</v>
      </c>
      <c r="L106" s="71">
        <f t="shared" si="45"/>
        <v>0</v>
      </c>
      <c r="M106" s="71">
        <f t="shared" si="45"/>
        <v>0</v>
      </c>
      <c r="N106" s="113">
        <f t="shared" si="45"/>
        <v>0</v>
      </c>
      <c r="O106" s="15"/>
      <c r="P106" s="15"/>
      <c r="Q106" s="15"/>
      <c r="R106" s="15"/>
      <c r="S106" s="15"/>
      <c r="T106" s="15"/>
      <c r="U106" s="15"/>
    </row>
    <row r="107" spans="1:21" x14ac:dyDescent="0.15">
      <c r="A107" s="37" t="s">
        <v>50</v>
      </c>
      <c r="B107" s="74"/>
      <c r="C107" s="40">
        <f>N82+SUM(C105:C106)</f>
        <v>0</v>
      </c>
      <c r="D107" s="40">
        <f>+C107+SUM(D105:D106)</f>
        <v>0</v>
      </c>
      <c r="E107" s="40">
        <f t="shared" ref="E107:N107" si="46">+D107+SUM(E105:E106)</f>
        <v>0</v>
      </c>
      <c r="F107" s="40">
        <f t="shared" si="46"/>
        <v>0</v>
      </c>
      <c r="G107" s="40">
        <f t="shared" si="46"/>
        <v>0</v>
      </c>
      <c r="H107" s="40">
        <f t="shared" si="46"/>
        <v>0</v>
      </c>
      <c r="I107" s="40">
        <f t="shared" si="46"/>
        <v>0</v>
      </c>
      <c r="J107" s="40">
        <f t="shared" si="46"/>
        <v>0</v>
      </c>
      <c r="K107" s="40">
        <f t="shared" si="46"/>
        <v>0</v>
      </c>
      <c r="L107" s="40">
        <f t="shared" si="46"/>
        <v>0</v>
      </c>
      <c r="M107" s="40">
        <f t="shared" si="46"/>
        <v>0</v>
      </c>
      <c r="N107" s="41">
        <f t="shared" si="46"/>
        <v>0</v>
      </c>
      <c r="O107" s="15"/>
      <c r="P107" s="15"/>
      <c r="Q107" s="15"/>
      <c r="R107" s="15"/>
      <c r="S107" s="15"/>
      <c r="T107" s="15"/>
      <c r="U107" s="15"/>
    </row>
    <row r="108" spans="1:21" x14ac:dyDescent="0.15">
      <c r="A108" s="45" t="s">
        <v>45</v>
      </c>
      <c r="B108" s="42"/>
      <c r="C108" s="65">
        <f>C107+C104</f>
        <v>0</v>
      </c>
      <c r="D108" s="65">
        <f t="shared" ref="D108:N108" si="47">D107+D104</f>
        <v>0</v>
      </c>
      <c r="E108" s="65">
        <f t="shared" si="47"/>
        <v>0</v>
      </c>
      <c r="F108" s="65">
        <f t="shared" si="47"/>
        <v>0</v>
      </c>
      <c r="G108" s="65">
        <f t="shared" si="47"/>
        <v>0</v>
      </c>
      <c r="H108" s="65">
        <f t="shared" si="47"/>
        <v>0</v>
      </c>
      <c r="I108" s="65">
        <f t="shared" si="47"/>
        <v>0</v>
      </c>
      <c r="J108" s="65">
        <f t="shared" si="47"/>
        <v>0</v>
      </c>
      <c r="K108" s="65">
        <f t="shared" si="47"/>
        <v>0</v>
      </c>
      <c r="L108" s="65">
        <f t="shared" si="47"/>
        <v>0</v>
      </c>
      <c r="M108" s="65">
        <f t="shared" si="47"/>
        <v>0</v>
      </c>
      <c r="N108" s="101">
        <f t="shared" si="47"/>
        <v>0</v>
      </c>
      <c r="O108" s="15"/>
      <c r="P108" s="15"/>
      <c r="Q108" s="15"/>
      <c r="R108" s="15"/>
      <c r="S108" s="15"/>
      <c r="T108" s="15"/>
      <c r="U108" s="15"/>
    </row>
    <row r="109" spans="1:21" x14ac:dyDescent="0.15">
      <c r="A109" s="37" t="s">
        <v>20</v>
      </c>
      <c r="B109" s="42"/>
      <c r="C109" s="43">
        <f t="shared" ref="C109:N109" si="48">C104*$B$32</f>
        <v>0</v>
      </c>
      <c r="D109" s="43">
        <f t="shared" si="48"/>
        <v>0</v>
      </c>
      <c r="E109" s="43">
        <f t="shared" si="48"/>
        <v>0</v>
      </c>
      <c r="F109" s="43">
        <f t="shared" si="48"/>
        <v>0</v>
      </c>
      <c r="G109" s="43">
        <f t="shared" si="48"/>
        <v>0</v>
      </c>
      <c r="H109" s="43">
        <f t="shared" si="48"/>
        <v>0</v>
      </c>
      <c r="I109" s="43">
        <f t="shared" si="48"/>
        <v>0</v>
      </c>
      <c r="J109" s="43">
        <f t="shared" si="48"/>
        <v>0</v>
      </c>
      <c r="K109" s="43">
        <f t="shared" si="48"/>
        <v>0</v>
      </c>
      <c r="L109" s="43">
        <f t="shared" si="48"/>
        <v>0</v>
      </c>
      <c r="M109" s="43">
        <f t="shared" si="48"/>
        <v>0</v>
      </c>
      <c r="N109" s="102">
        <f t="shared" si="48"/>
        <v>0</v>
      </c>
      <c r="O109" s="15"/>
      <c r="P109" s="15"/>
      <c r="Q109" s="15"/>
      <c r="R109" s="15"/>
      <c r="S109" s="15"/>
      <c r="T109" s="15"/>
      <c r="U109" s="15"/>
    </row>
    <row r="110" spans="1:21" x14ac:dyDescent="0.15">
      <c r="A110" s="37" t="s">
        <v>17</v>
      </c>
      <c r="B110" s="42"/>
      <c r="C110" s="43">
        <f t="shared" ref="C110:N110" si="49">(C107*$B$33)</f>
        <v>0</v>
      </c>
      <c r="D110" s="43">
        <f t="shared" si="49"/>
        <v>0</v>
      </c>
      <c r="E110" s="43">
        <f t="shared" si="49"/>
        <v>0</v>
      </c>
      <c r="F110" s="43">
        <f t="shared" si="49"/>
        <v>0</v>
      </c>
      <c r="G110" s="43">
        <f t="shared" si="49"/>
        <v>0</v>
      </c>
      <c r="H110" s="43">
        <f t="shared" si="49"/>
        <v>0</v>
      </c>
      <c r="I110" s="43">
        <f t="shared" si="49"/>
        <v>0</v>
      </c>
      <c r="J110" s="43">
        <f t="shared" si="49"/>
        <v>0</v>
      </c>
      <c r="K110" s="43">
        <f t="shared" si="49"/>
        <v>0</v>
      </c>
      <c r="L110" s="43">
        <f t="shared" si="49"/>
        <v>0</v>
      </c>
      <c r="M110" s="43">
        <f t="shared" si="49"/>
        <v>0</v>
      </c>
      <c r="N110" s="102">
        <f t="shared" si="49"/>
        <v>0</v>
      </c>
      <c r="O110" s="15"/>
      <c r="P110" s="15"/>
      <c r="Q110" s="15"/>
      <c r="R110" s="15"/>
      <c r="S110" s="15"/>
      <c r="T110" s="15"/>
      <c r="U110" s="15"/>
    </row>
    <row r="111" spans="1:21" x14ac:dyDescent="0.15">
      <c r="A111" s="37" t="s">
        <v>18</v>
      </c>
      <c r="B111" s="42"/>
      <c r="C111" s="26">
        <f>SUM(C109:C110)</f>
        <v>0</v>
      </c>
      <c r="D111" s="26">
        <f>SUM(D109:D110)</f>
        <v>0</v>
      </c>
      <c r="E111" s="26">
        <f t="shared" ref="E111:N111" si="50">SUM(E109:E110)</f>
        <v>0</v>
      </c>
      <c r="F111" s="26">
        <f t="shared" si="50"/>
        <v>0</v>
      </c>
      <c r="G111" s="26">
        <f t="shared" si="50"/>
        <v>0</v>
      </c>
      <c r="H111" s="26">
        <f t="shared" si="50"/>
        <v>0</v>
      </c>
      <c r="I111" s="26">
        <f t="shared" si="50"/>
        <v>0</v>
      </c>
      <c r="J111" s="26">
        <f t="shared" si="50"/>
        <v>0</v>
      </c>
      <c r="K111" s="26">
        <f t="shared" si="50"/>
        <v>0</v>
      </c>
      <c r="L111" s="26">
        <f t="shared" si="50"/>
        <v>0</v>
      </c>
      <c r="M111" s="26">
        <f t="shared" si="50"/>
        <v>0</v>
      </c>
      <c r="N111" s="27">
        <f t="shared" si="50"/>
        <v>0</v>
      </c>
      <c r="O111" s="15"/>
      <c r="P111" s="15"/>
      <c r="Q111" s="15"/>
      <c r="R111" s="15"/>
      <c r="S111" s="15"/>
      <c r="T111" s="15"/>
      <c r="U111" s="15"/>
    </row>
    <row r="112" spans="1:21" x14ac:dyDescent="0.15">
      <c r="A112" s="37" t="s">
        <v>54</v>
      </c>
      <c r="B112" s="42"/>
      <c r="C112" s="26">
        <f t="shared" ref="C112:N112" si="51">(+C108*$B$40)+(C108*$B$41)+(C108*$B$42)</f>
        <v>0</v>
      </c>
      <c r="D112" s="26">
        <f t="shared" si="51"/>
        <v>0</v>
      </c>
      <c r="E112" s="26">
        <f t="shared" si="51"/>
        <v>0</v>
      </c>
      <c r="F112" s="26">
        <f t="shared" si="51"/>
        <v>0</v>
      </c>
      <c r="G112" s="26">
        <f t="shared" si="51"/>
        <v>0</v>
      </c>
      <c r="H112" s="26">
        <f t="shared" si="51"/>
        <v>0</v>
      </c>
      <c r="I112" s="26">
        <f t="shared" si="51"/>
        <v>0</v>
      </c>
      <c r="J112" s="26">
        <f t="shared" si="51"/>
        <v>0</v>
      </c>
      <c r="K112" s="26">
        <f t="shared" si="51"/>
        <v>0</v>
      </c>
      <c r="L112" s="26">
        <f t="shared" si="51"/>
        <v>0</v>
      </c>
      <c r="M112" s="26">
        <f t="shared" si="51"/>
        <v>0</v>
      </c>
      <c r="N112" s="27">
        <f t="shared" si="51"/>
        <v>0</v>
      </c>
      <c r="O112" s="15"/>
      <c r="P112" s="15"/>
      <c r="Q112" s="15"/>
      <c r="R112" s="15"/>
      <c r="S112" s="15"/>
      <c r="T112" s="15"/>
      <c r="U112" s="15"/>
    </row>
    <row r="113" spans="1:21" x14ac:dyDescent="0.15">
      <c r="A113" s="37" t="s">
        <v>39</v>
      </c>
      <c r="B113" s="42"/>
      <c r="C113" s="28">
        <f t="shared" ref="C113:N113" si="52">C108*$B$39</f>
        <v>0</v>
      </c>
      <c r="D113" s="28">
        <f t="shared" si="52"/>
        <v>0</v>
      </c>
      <c r="E113" s="28">
        <f t="shared" si="52"/>
        <v>0</v>
      </c>
      <c r="F113" s="28">
        <f t="shared" si="52"/>
        <v>0</v>
      </c>
      <c r="G113" s="28">
        <f t="shared" si="52"/>
        <v>0</v>
      </c>
      <c r="H113" s="28">
        <f t="shared" si="52"/>
        <v>0</v>
      </c>
      <c r="I113" s="28">
        <f t="shared" si="52"/>
        <v>0</v>
      </c>
      <c r="J113" s="28">
        <f t="shared" si="52"/>
        <v>0</v>
      </c>
      <c r="K113" s="28">
        <f t="shared" si="52"/>
        <v>0</v>
      </c>
      <c r="L113" s="28">
        <f t="shared" si="52"/>
        <v>0</v>
      </c>
      <c r="M113" s="28">
        <f t="shared" si="52"/>
        <v>0</v>
      </c>
      <c r="N113" s="69">
        <f t="shared" si="52"/>
        <v>0</v>
      </c>
      <c r="O113" s="15"/>
      <c r="P113" s="15"/>
      <c r="Q113" s="15"/>
      <c r="R113" s="15"/>
      <c r="S113" s="15"/>
      <c r="T113" s="15"/>
      <c r="U113" s="15"/>
    </row>
    <row r="114" spans="1:21" x14ac:dyDescent="0.15">
      <c r="A114" s="37" t="s">
        <v>37</v>
      </c>
      <c r="B114" s="55"/>
      <c r="C114" s="44">
        <f t="shared" ref="C114:N114" si="53">C101*$B$31</f>
        <v>0</v>
      </c>
      <c r="D114" s="44">
        <f t="shared" si="53"/>
        <v>0</v>
      </c>
      <c r="E114" s="44">
        <f t="shared" si="53"/>
        <v>0</v>
      </c>
      <c r="F114" s="44">
        <f t="shared" si="53"/>
        <v>0</v>
      </c>
      <c r="G114" s="44">
        <f t="shared" si="53"/>
        <v>0</v>
      </c>
      <c r="H114" s="44">
        <f t="shared" si="53"/>
        <v>0</v>
      </c>
      <c r="I114" s="44">
        <f t="shared" si="53"/>
        <v>0</v>
      </c>
      <c r="J114" s="44">
        <f t="shared" si="53"/>
        <v>0</v>
      </c>
      <c r="K114" s="44">
        <f t="shared" si="53"/>
        <v>0</v>
      </c>
      <c r="L114" s="44">
        <f t="shared" si="53"/>
        <v>0</v>
      </c>
      <c r="M114" s="44">
        <f t="shared" si="53"/>
        <v>0</v>
      </c>
      <c r="N114" s="104">
        <f t="shared" si="53"/>
        <v>0</v>
      </c>
      <c r="O114" s="15"/>
      <c r="P114" s="15"/>
      <c r="Q114" s="15"/>
      <c r="R114" s="15"/>
      <c r="S114" s="15"/>
      <c r="T114" s="15"/>
      <c r="U114" s="15"/>
    </row>
    <row r="115" spans="1:21" ht="16" x14ac:dyDescent="0.2">
      <c r="A115" s="45" t="s">
        <v>3</v>
      </c>
      <c r="B115" s="42"/>
      <c r="C115" s="56">
        <f>SUM(C111:C114)</f>
        <v>0</v>
      </c>
      <c r="D115" s="57">
        <f>SUM(D111:D114)</f>
        <v>0</v>
      </c>
      <c r="E115" s="57">
        <f t="shared" ref="E115:N115" si="54">SUM(E111:E114)</f>
        <v>0</v>
      </c>
      <c r="F115" s="57">
        <f t="shared" si="54"/>
        <v>0</v>
      </c>
      <c r="G115" s="57">
        <f t="shared" si="54"/>
        <v>0</v>
      </c>
      <c r="H115" s="57">
        <f t="shared" si="54"/>
        <v>0</v>
      </c>
      <c r="I115" s="57">
        <f t="shared" si="54"/>
        <v>0</v>
      </c>
      <c r="J115" s="57">
        <f t="shared" si="54"/>
        <v>0</v>
      </c>
      <c r="K115" s="57">
        <f t="shared" si="54"/>
        <v>0</v>
      </c>
      <c r="L115" s="57">
        <f>SUM(L111:L114)</f>
        <v>0</v>
      </c>
      <c r="M115" s="57">
        <f t="shared" si="54"/>
        <v>0</v>
      </c>
      <c r="N115" s="58">
        <f t="shared" si="54"/>
        <v>0</v>
      </c>
      <c r="O115" s="15"/>
      <c r="P115" s="15"/>
      <c r="Q115" s="15"/>
      <c r="R115" s="15"/>
      <c r="S115" s="15"/>
      <c r="T115" s="15"/>
      <c r="U115" s="15"/>
    </row>
    <row r="116" spans="1:21" x14ac:dyDescent="0.15">
      <c r="A116" s="37" t="s">
        <v>15</v>
      </c>
      <c r="B116" s="42"/>
      <c r="C116" s="29">
        <f>(C111*0.05)+((C113+C114)*0.015)</f>
        <v>0</v>
      </c>
      <c r="D116" s="29">
        <f>(D111*0.05)+((D113+D114)*0.015)</f>
        <v>0</v>
      </c>
      <c r="E116" s="29">
        <f t="shared" ref="E116:N116" si="55">(E111*0.05)+((E113+E114)*0.015)</f>
        <v>0</v>
      </c>
      <c r="F116" s="29">
        <f t="shared" si="55"/>
        <v>0</v>
      </c>
      <c r="G116" s="29">
        <f t="shared" si="55"/>
        <v>0</v>
      </c>
      <c r="H116" s="29">
        <f t="shared" si="55"/>
        <v>0</v>
      </c>
      <c r="I116" s="29">
        <f t="shared" si="55"/>
        <v>0</v>
      </c>
      <c r="J116" s="29">
        <f t="shared" si="55"/>
        <v>0</v>
      </c>
      <c r="K116" s="29">
        <f t="shared" si="55"/>
        <v>0</v>
      </c>
      <c r="L116" s="29">
        <f t="shared" si="55"/>
        <v>0</v>
      </c>
      <c r="M116" s="29">
        <f t="shared" si="55"/>
        <v>0</v>
      </c>
      <c r="N116" s="106">
        <f t="shared" si="55"/>
        <v>0</v>
      </c>
      <c r="O116" s="15"/>
      <c r="P116" s="15"/>
      <c r="Q116" s="15"/>
      <c r="R116" s="15"/>
      <c r="S116" s="15"/>
      <c r="T116" s="15"/>
      <c r="U116" s="15"/>
    </row>
    <row r="117" spans="1:21" x14ac:dyDescent="0.15">
      <c r="A117" s="37" t="s">
        <v>41</v>
      </c>
      <c r="B117" s="42"/>
      <c r="C117" s="29">
        <f t="shared" ref="C117:N117" si="56">C101*$B$46</f>
        <v>0</v>
      </c>
      <c r="D117" s="29">
        <f t="shared" si="56"/>
        <v>0</v>
      </c>
      <c r="E117" s="29">
        <f t="shared" si="56"/>
        <v>0</v>
      </c>
      <c r="F117" s="29">
        <f t="shared" si="56"/>
        <v>0</v>
      </c>
      <c r="G117" s="29">
        <f t="shared" si="56"/>
        <v>0</v>
      </c>
      <c r="H117" s="29">
        <f t="shared" si="56"/>
        <v>0</v>
      </c>
      <c r="I117" s="29">
        <f t="shared" si="56"/>
        <v>0</v>
      </c>
      <c r="J117" s="29">
        <f t="shared" si="56"/>
        <v>0</v>
      </c>
      <c r="K117" s="29">
        <f t="shared" si="56"/>
        <v>0</v>
      </c>
      <c r="L117" s="29">
        <f t="shared" si="56"/>
        <v>0</v>
      </c>
      <c r="M117" s="29">
        <f t="shared" si="56"/>
        <v>0</v>
      </c>
      <c r="N117" s="106">
        <f t="shared" si="56"/>
        <v>0</v>
      </c>
      <c r="O117" s="15"/>
      <c r="P117" s="15"/>
      <c r="Q117" s="15"/>
      <c r="R117" s="15"/>
      <c r="S117" s="15"/>
      <c r="T117" s="15"/>
      <c r="U117" s="15"/>
    </row>
    <row r="118" spans="1:21" x14ac:dyDescent="0.15">
      <c r="A118" s="37" t="s">
        <v>32</v>
      </c>
      <c r="B118" s="48"/>
      <c r="C118" s="29">
        <f t="shared" ref="C118:N118" si="57">$B$47*C111</f>
        <v>0</v>
      </c>
      <c r="D118" s="29">
        <f t="shared" si="57"/>
        <v>0</v>
      </c>
      <c r="E118" s="29">
        <f t="shared" si="57"/>
        <v>0</v>
      </c>
      <c r="F118" s="29">
        <f t="shared" si="57"/>
        <v>0</v>
      </c>
      <c r="G118" s="29">
        <f t="shared" si="57"/>
        <v>0</v>
      </c>
      <c r="H118" s="29">
        <f t="shared" si="57"/>
        <v>0</v>
      </c>
      <c r="I118" s="29">
        <f t="shared" si="57"/>
        <v>0</v>
      </c>
      <c r="J118" s="29">
        <f t="shared" si="57"/>
        <v>0</v>
      </c>
      <c r="K118" s="29">
        <f t="shared" si="57"/>
        <v>0</v>
      </c>
      <c r="L118" s="29">
        <f t="shared" si="57"/>
        <v>0</v>
      </c>
      <c r="M118" s="29">
        <f t="shared" si="57"/>
        <v>0</v>
      </c>
      <c r="N118" s="106">
        <f t="shared" si="57"/>
        <v>0</v>
      </c>
      <c r="O118" s="15"/>
      <c r="P118" s="15"/>
      <c r="Q118" s="15"/>
      <c r="R118" s="15"/>
      <c r="S118" s="15"/>
      <c r="T118" s="15"/>
      <c r="U118" s="15"/>
    </row>
    <row r="119" spans="1:21" x14ac:dyDescent="0.15">
      <c r="A119" s="78" t="s">
        <v>55</v>
      </c>
      <c r="B119" s="48"/>
      <c r="C119" s="29">
        <f t="shared" ref="C119:N119" si="58">($B$40*C108)*$B$45</f>
        <v>0</v>
      </c>
      <c r="D119" s="29">
        <f t="shared" si="58"/>
        <v>0</v>
      </c>
      <c r="E119" s="29">
        <f t="shared" si="58"/>
        <v>0</v>
      </c>
      <c r="F119" s="29">
        <f t="shared" si="58"/>
        <v>0</v>
      </c>
      <c r="G119" s="29">
        <f t="shared" si="58"/>
        <v>0</v>
      </c>
      <c r="H119" s="29">
        <f t="shared" si="58"/>
        <v>0</v>
      </c>
      <c r="I119" s="29">
        <f t="shared" si="58"/>
        <v>0</v>
      </c>
      <c r="J119" s="29">
        <f t="shared" si="58"/>
        <v>0</v>
      </c>
      <c r="K119" s="29">
        <f t="shared" si="58"/>
        <v>0</v>
      </c>
      <c r="L119" s="29">
        <f t="shared" si="58"/>
        <v>0</v>
      </c>
      <c r="M119" s="29">
        <f t="shared" si="58"/>
        <v>0</v>
      </c>
      <c r="N119" s="106">
        <f t="shared" si="58"/>
        <v>0</v>
      </c>
      <c r="O119" s="15"/>
      <c r="P119" s="15"/>
      <c r="Q119" s="15"/>
      <c r="R119" s="15"/>
      <c r="S119" s="15"/>
      <c r="T119" s="15"/>
      <c r="U119" s="15"/>
    </row>
    <row r="120" spans="1:21" x14ac:dyDescent="0.15">
      <c r="A120" s="37" t="s">
        <v>8</v>
      </c>
      <c r="B120" s="42"/>
      <c r="C120" s="59">
        <f t="shared" ref="C120:N120" si="59">$B$23</f>
        <v>0</v>
      </c>
      <c r="D120" s="59">
        <f t="shared" si="59"/>
        <v>0</v>
      </c>
      <c r="E120" s="59">
        <f t="shared" si="59"/>
        <v>0</v>
      </c>
      <c r="F120" s="59">
        <f t="shared" si="59"/>
        <v>0</v>
      </c>
      <c r="G120" s="59">
        <f t="shared" si="59"/>
        <v>0</v>
      </c>
      <c r="H120" s="59">
        <f t="shared" si="59"/>
        <v>0</v>
      </c>
      <c r="I120" s="59">
        <f t="shared" si="59"/>
        <v>0</v>
      </c>
      <c r="J120" s="59">
        <f t="shared" si="59"/>
        <v>0</v>
      </c>
      <c r="K120" s="59">
        <f t="shared" si="59"/>
        <v>0</v>
      </c>
      <c r="L120" s="59">
        <f t="shared" si="59"/>
        <v>0</v>
      </c>
      <c r="M120" s="59">
        <f t="shared" si="59"/>
        <v>0</v>
      </c>
      <c r="N120" s="115">
        <f t="shared" si="59"/>
        <v>0</v>
      </c>
      <c r="O120" s="15"/>
      <c r="P120" s="15"/>
      <c r="Q120" s="15"/>
      <c r="R120" s="15"/>
      <c r="S120" s="15"/>
      <c r="T120" s="15"/>
      <c r="U120" s="15"/>
    </row>
    <row r="121" spans="1:21" ht="16" x14ac:dyDescent="0.2">
      <c r="A121" s="45" t="s">
        <v>42</v>
      </c>
      <c r="B121" s="42"/>
      <c r="C121" s="49">
        <f>SUM(C116:C120)-(IF($B$25&gt;24,$B$8,0))</f>
        <v>0</v>
      </c>
      <c r="D121" s="49">
        <f>SUM(D116:D120)-(IF($B$25&gt;25,$B$8,0))</f>
        <v>0</v>
      </c>
      <c r="E121" s="49">
        <f>SUM(E116:E120)-(IF($B$25&gt;26,$B$8,0))</f>
        <v>0</v>
      </c>
      <c r="F121" s="49">
        <f>SUM(F116:F120)-(IF($B$25&gt;27,$B$8,0))</f>
        <v>0</v>
      </c>
      <c r="G121" s="49">
        <f>SUM(G116:G120)-(IF($B$25&gt;28,$B$8,0))</f>
        <v>0</v>
      </c>
      <c r="H121" s="49">
        <f>SUM(H116:H120)-(IF($B$25&gt;29,$B$8,0))</f>
        <v>0</v>
      </c>
      <c r="I121" s="49">
        <f>SUM(I116:I120)-(IF($B$25&gt;30,$B$8,0))</f>
        <v>0</v>
      </c>
      <c r="J121" s="49">
        <f>SUM(J116:J120)-(IF($B$25&gt;31,$B$8,0))</f>
        <v>0</v>
      </c>
      <c r="K121" s="49">
        <f>SUM(K116:K120)-(IF($B$25&gt;32,$B$8,0))</f>
        <v>0</v>
      </c>
      <c r="L121" s="49">
        <f>SUM(L116:L120)-(IF($B$25&gt;33,$B$8,0))</f>
        <v>0</v>
      </c>
      <c r="M121" s="49">
        <f>SUM(M116:M120)-(IF($B$25&gt;34,$B$8,0))</f>
        <v>0</v>
      </c>
      <c r="N121" s="108">
        <f>SUM(N116:N120)-(IF($B$25&gt;35,$B$8,0))</f>
        <v>0</v>
      </c>
      <c r="O121" s="15"/>
      <c r="P121" s="15"/>
      <c r="Q121" s="15"/>
      <c r="R121" s="15"/>
      <c r="S121" s="15"/>
      <c r="T121" s="15"/>
      <c r="U121" s="15"/>
    </row>
    <row r="122" spans="1:21" x14ac:dyDescent="0.15">
      <c r="A122" s="37" t="s">
        <v>4</v>
      </c>
      <c r="B122" s="42"/>
      <c r="C122" s="29">
        <f>SUM(C115-C121)</f>
        <v>0</v>
      </c>
      <c r="D122" s="29">
        <f t="shared" ref="D122:N122" si="60">SUM(D115-D121)</f>
        <v>0</v>
      </c>
      <c r="E122" s="29">
        <f t="shared" si="60"/>
        <v>0</v>
      </c>
      <c r="F122" s="29">
        <f t="shared" si="60"/>
        <v>0</v>
      </c>
      <c r="G122" s="29">
        <f t="shared" si="60"/>
        <v>0</v>
      </c>
      <c r="H122" s="29">
        <f t="shared" si="60"/>
        <v>0</v>
      </c>
      <c r="I122" s="29">
        <f t="shared" si="60"/>
        <v>0</v>
      </c>
      <c r="J122" s="29">
        <f t="shared" si="60"/>
        <v>0</v>
      </c>
      <c r="K122" s="29">
        <f t="shared" si="60"/>
        <v>0</v>
      </c>
      <c r="L122" s="29">
        <f t="shared" si="60"/>
        <v>0</v>
      </c>
      <c r="M122" s="29">
        <f t="shared" si="60"/>
        <v>0</v>
      </c>
      <c r="N122" s="106">
        <f t="shared" si="60"/>
        <v>0</v>
      </c>
      <c r="O122" s="15"/>
      <c r="P122" s="15"/>
      <c r="Q122" s="15"/>
      <c r="R122" s="15"/>
      <c r="S122" s="15"/>
      <c r="T122" s="15"/>
      <c r="U122" s="15"/>
    </row>
    <row r="123" spans="1:21" ht="15" thickBot="1" x14ac:dyDescent="0.2">
      <c r="A123" s="50" t="s">
        <v>0</v>
      </c>
      <c r="B123" s="116"/>
      <c r="C123" s="52">
        <f>N98+C122</f>
        <v>0</v>
      </c>
      <c r="D123" s="51">
        <f>+C123+D122</f>
        <v>0</v>
      </c>
      <c r="E123" s="51">
        <f t="shared" ref="E123" si="61">+D123+E122</f>
        <v>0</v>
      </c>
      <c r="F123" s="51">
        <f t="shared" ref="F123" si="62">+E123+F122</f>
        <v>0</v>
      </c>
      <c r="G123" s="51">
        <f t="shared" ref="G123" si="63">+F123+G122</f>
        <v>0</v>
      </c>
      <c r="H123" s="51">
        <f t="shared" ref="H123" si="64">+G123+H122</f>
        <v>0</v>
      </c>
      <c r="I123" s="51">
        <f t="shared" ref="I123" si="65">+H123+I122</f>
        <v>0</v>
      </c>
      <c r="J123" s="51">
        <f t="shared" ref="J123" si="66">+I123+J122</f>
        <v>0</v>
      </c>
      <c r="K123" s="51">
        <f t="shared" ref="K123" si="67">+J123+K122</f>
        <v>0</v>
      </c>
      <c r="L123" s="51">
        <f t="shared" ref="L123" si="68">+K123+L122</f>
        <v>0</v>
      </c>
      <c r="M123" s="51">
        <f t="shared" ref="M123" si="69">+L123+M122</f>
        <v>0</v>
      </c>
      <c r="N123" s="53">
        <f t="shared" ref="N123" si="70">+M123+N122</f>
        <v>0</v>
      </c>
      <c r="O123" s="15"/>
      <c r="P123" s="15"/>
      <c r="Q123" s="15"/>
      <c r="R123" s="15"/>
      <c r="S123" s="15"/>
      <c r="T123" s="15"/>
      <c r="U123" s="15"/>
    </row>
    <row r="124" spans="1:21" x14ac:dyDescent="0.15">
      <c r="A124" s="16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 x14ac:dyDescent="0.15">
      <c r="A125" s="16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 x14ac:dyDescent="0.15">
      <c r="A126" s="9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18" t="s">
        <v>27</v>
      </c>
      <c r="M126" s="18"/>
      <c r="N126" s="18"/>
      <c r="O126" s="15"/>
      <c r="P126" s="15"/>
      <c r="Q126" s="15"/>
      <c r="R126" s="15"/>
      <c r="S126" s="15"/>
      <c r="T126" s="15"/>
      <c r="U126" s="15"/>
    </row>
    <row r="127" spans="1:21" x14ac:dyDescent="0.15">
      <c r="A127" s="9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18" t="s">
        <v>51</v>
      </c>
      <c r="M127" s="18"/>
      <c r="N127" s="18"/>
      <c r="O127" s="15"/>
      <c r="P127" s="15"/>
      <c r="Q127" s="15"/>
      <c r="R127" s="15"/>
      <c r="S127" s="15"/>
      <c r="T127" s="15"/>
      <c r="U127" s="15"/>
    </row>
    <row r="128" spans="1:21" x14ac:dyDescent="0.15">
      <c r="A128" s="9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18" t="s">
        <v>52</v>
      </c>
      <c r="M128" s="18"/>
      <c r="N128" s="18"/>
      <c r="O128" s="15"/>
      <c r="P128" s="15"/>
      <c r="Q128" s="15"/>
      <c r="R128" s="15"/>
      <c r="S128" s="15"/>
      <c r="T128" s="15"/>
      <c r="U128" s="15"/>
    </row>
    <row r="129" spans="1:21" x14ac:dyDescent="0.15">
      <c r="A129" s="9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18" t="s">
        <v>28</v>
      </c>
      <c r="M129" s="18"/>
      <c r="N129" s="18"/>
      <c r="O129" s="15"/>
      <c r="P129" s="15"/>
      <c r="Q129" s="15"/>
      <c r="R129" s="15"/>
      <c r="S129" s="15"/>
      <c r="T129" s="15"/>
      <c r="U129" s="15"/>
    </row>
    <row r="130" spans="1:21" x14ac:dyDescent="0.15">
      <c r="A130" s="9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18" t="s">
        <v>29</v>
      </c>
      <c r="M130" s="18"/>
      <c r="N130" s="18"/>
      <c r="O130" s="15"/>
      <c r="P130" s="15"/>
      <c r="Q130" s="15"/>
      <c r="R130" s="15"/>
      <c r="S130" s="15"/>
      <c r="T130" s="15"/>
      <c r="U130" s="15"/>
    </row>
    <row r="131" spans="1:21" x14ac:dyDescent="0.15">
      <c r="A131" s="9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18" t="s">
        <v>30</v>
      </c>
      <c r="M131" s="18"/>
      <c r="N131" s="18"/>
      <c r="O131" s="15"/>
      <c r="P131" s="15"/>
      <c r="Q131" s="15"/>
      <c r="R131" s="15"/>
      <c r="S131" s="15"/>
      <c r="T131" s="15"/>
      <c r="U131" s="15"/>
    </row>
    <row r="132" spans="1:21" x14ac:dyDescent="0.15">
      <c r="A132" s="9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18" t="s">
        <v>31</v>
      </c>
      <c r="M132" s="18"/>
      <c r="N132" s="18"/>
      <c r="O132" s="15"/>
      <c r="P132" s="15"/>
      <c r="Q132" s="15"/>
      <c r="R132" s="15"/>
      <c r="S132" s="15"/>
      <c r="T132" s="15"/>
      <c r="U132" s="15"/>
    </row>
    <row r="133" spans="1:21" x14ac:dyDescent="0.15">
      <c r="A133" s="9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18"/>
      <c r="M133" s="18"/>
      <c r="N133" s="18"/>
      <c r="O133" s="15"/>
      <c r="P133" s="15"/>
      <c r="Q133" s="15"/>
      <c r="R133" s="15"/>
      <c r="S133" s="15"/>
      <c r="T133" s="15"/>
      <c r="U133" s="15"/>
    </row>
    <row r="134" spans="1:21" x14ac:dyDescent="0.15">
      <c r="A134" s="9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5"/>
      <c r="P134" s="15"/>
      <c r="Q134" s="15"/>
      <c r="R134" s="15"/>
      <c r="S134" s="15"/>
      <c r="T134" s="15"/>
      <c r="U134" s="15"/>
    </row>
    <row r="135" spans="1:21" x14ac:dyDescent="0.15">
      <c r="A135" s="9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5"/>
      <c r="P135" s="15"/>
      <c r="Q135" s="15"/>
      <c r="R135" s="15"/>
      <c r="S135" s="15"/>
      <c r="T135" s="15"/>
      <c r="U135" s="15"/>
    </row>
    <row r="136" spans="1:21" x14ac:dyDescent="0.15">
      <c r="A136" s="9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5"/>
      <c r="P136" s="15"/>
      <c r="Q136" s="15"/>
      <c r="R136" s="15"/>
      <c r="S136" s="15"/>
      <c r="T136" s="15"/>
      <c r="U136" s="15"/>
    </row>
    <row r="137" spans="1:21" x14ac:dyDescent="0.15">
      <c r="A137" s="9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5"/>
      <c r="P137" s="15"/>
      <c r="Q137" s="15"/>
      <c r="R137" s="15"/>
      <c r="S137" s="15"/>
      <c r="T137" s="15"/>
      <c r="U137" s="15"/>
    </row>
    <row r="138" spans="1:21" x14ac:dyDescent="0.15">
      <c r="A138" s="9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5"/>
      <c r="P138" s="15"/>
      <c r="Q138" s="15"/>
      <c r="R138" s="15"/>
      <c r="S138" s="15"/>
      <c r="T138" s="15"/>
      <c r="U138" s="15"/>
    </row>
    <row r="139" spans="1:21" x14ac:dyDescent="0.15">
      <c r="A139" s="9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5"/>
      <c r="P139" s="15"/>
      <c r="Q139" s="15"/>
      <c r="R139" s="15"/>
      <c r="S139" s="15"/>
      <c r="T139" s="15"/>
      <c r="U139" s="15"/>
    </row>
    <row r="140" spans="1:21" x14ac:dyDescent="0.15">
      <c r="A140" s="9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5"/>
      <c r="P140" s="15"/>
      <c r="Q140" s="15"/>
      <c r="R140" s="15"/>
      <c r="S140" s="15"/>
      <c r="T140" s="15"/>
      <c r="U140" s="15"/>
    </row>
    <row r="141" spans="1:21" x14ac:dyDescent="0.15">
      <c r="A141" s="9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5"/>
      <c r="P141" s="15"/>
      <c r="Q141" s="15"/>
      <c r="R141" s="15"/>
      <c r="S141" s="15"/>
      <c r="T141" s="15"/>
      <c r="U141" s="15"/>
    </row>
    <row r="142" spans="1:21" x14ac:dyDescent="0.15">
      <c r="A142" s="9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5"/>
      <c r="P142" s="15"/>
      <c r="Q142" s="15"/>
      <c r="R142" s="15"/>
      <c r="S142" s="15"/>
      <c r="T142" s="15"/>
      <c r="U142" s="15"/>
    </row>
    <row r="143" spans="1:21" x14ac:dyDescent="0.15">
      <c r="A143" s="9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5"/>
      <c r="P143" s="15"/>
      <c r="Q143" s="15"/>
      <c r="R143" s="15"/>
      <c r="S143" s="15"/>
      <c r="T143" s="15"/>
      <c r="U143" s="15"/>
    </row>
    <row r="144" spans="1:21" x14ac:dyDescent="0.15">
      <c r="A144" s="9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5"/>
      <c r="P144" s="15"/>
      <c r="Q144" s="15"/>
      <c r="R144" s="15"/>
      <c r="S144" s="15"/>
      <c r="T144" s="15"/>
      <c r="U144" s="15"/>
    </row>
    <row r="145" spans="1:21" x14ac:dyDescent="0.15">
      <c r="A145" s="9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5"/>
      <c r="P145" s="15"/>
      <c r="Q145" s="15"/>
      <c r="R145" s="15"/>
      <c r="S145" s="15"/>
      <c r="T145" s="15"/>
      <c r="U145" s="15"/>
    </row>
    <row r="146" spans="1:21" x14ac:dyDescent="0.15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5"/>
      <c r="P146" s="15"/>
      <c r="Q146" s="15"/>
      <c r="R146" s="15"/>
      <c r="S146" s="15"/>
      <c r="T146" s="15"/>
      <c r="U146" s="15"/>
    </row>
    <row r="147" spans="1:21" x14ac:dyDescent="0.15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5"/>
      <c r="P147" s="15"/>
      <c r="Q147" s="15"/>
      <c r="R147" s="15"/>
      <c r="S147" s="15"/>
      <c r="T147" s="15"/>
      <c r="U147" s="15"/>
    </row>
    <row r="148" spans="1:21" x14ac:dyDescent="0.15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5"/>
      <c r="P148" s="15"/>
      <c r="Q148" s="15"/>
      <c r="R148" s="15"/>
      <c r="S148" s="15"/>
      <c r="T148" s="15"/>
      <c r="U148" s="15"/>
    </row>
    <row r="149" spans="1:21" x14ac:dyDescent="0.15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5"/>
      <c r="P149" s="15"/>
      <c r="Q149" s="15"/>
      <c r="R149" s="15"/>
      <c r="S149" s="15"/>
      <c r="T149" s="15"/>
      <c r="U149" s="15"/>
    </row>
    <row r="150" spans="1:21" x14ac:dyDescent="0.15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5"/>
      <c r="P150" s="15"/>
      <c r="Q150" s="15"/>
      <c r="R150" s="15"/>
      <c r="S150" s="15"/>
      <c r="T150" s="15"/>
      <c r="U150" s="15"/>
    </row>
    <row r="151" spans="1:21" x14ac:dyDescent="0.15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5"/>
      <c r="P151" s="15"/>
      <c r="Q151" s="15"/>
      <c r="R151" s="15"/>
      <c r="S151" s="15"/>
      <c r="T151" s="15"/>
      <c r="U151" s="15"/>
    </row>
    <row r="152" spans="1:21" x14ac:dyDescent="0.15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5"/>
      <c r="P152" s="15"/>
      <c r="Q152" s="15"/>
      <c r="R152" s="15"/>
      <c r="S152" s="15"/>
      <c r="T152" s="15"/>
      <c r="U152" s="15"/>
    </row>
    <row r="153" spans="1:21" x14ac:dyDescent="0.15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5"/>
      <c r="P153" s="15"/>
      <c r="Q153" s="15"/>
      <c r="R153" s="15"/>
      <c r="S153" s="15"/>
      <c r="T153" s="15"/>
      <c r="U153" s="15"/>
    </row>
    <row r="154" spans="1:21" x14ac:dyDescent="0.15">
      <c r="A154" s="9" t="s">
        <v>108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5"/>
      <c r="P154" s="15"/>
      <c r="Q154" s="15"/>
      <c r="R154" s="15"/>
      <c r="S154" s="15"/>
      <c r="T154" s="15"/>
      <c r="U154" s="15"/>
    </row>
    <row r="155" spans="1:21" ht="16" x14ac:dyDescent="0.15">
      <c r="A155" s="17"/>
    </row>
    <row r="180" spans="7:7" x14ac:dyDescent="0.15">
      <c r="G180" s="19"/>
    </row>
  </sheetData>
  <mergeCells count="2">
    <mergeCell ref="A5:B5"/>
    <mergeCell ref="A1:I1"/>
  </mergeCells>
  <phoneticPr fontId="2"/>
  <conditionalFormatting sqref="C72:N73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C97:N98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C122:N12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5" right="0.5" top="0.25" bottom="0.25" header="0.25" footer="0.25"/>
  <pageSetup scale="3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36" r:id="rId4">
          <objectPr defaultSize="0" autoPict="0" r:id="rId5">
            <anchor moveWithCells="1">
              <from>
                <xdr:col>0</xdr:col>
                <xdr:colOff>254000</xdr:colOff>
                <xdr:row>123</xdr:row>
                <xdr:rowOff>139700</xdr:rowOff>
              </from>
              <to>
                <xdr:col>9</xdr:col>
                <xdr:colOff>914400</xdr:colOff>
                <xdr:row>152</xdr:row>
                <xdr:rowOff>63500</xdr:rowOff>
              </to>
            </anchor>
          </objectPr>
        </oleObject>
      </mc:Choice>
      <mc:Fallback>
        <oleObject progId="Word.Document.8" shapeId="103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Macro1</vt:lpstr>
      <vt:lpstr>AF Projections</vt:lpstr>
      <vt:lpstr>'AF Projections'!Print_Area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Debbie Pias</cp:lastModifiedBy>
  <cp:lastPrinted>2015-04-22T14:41:05Z</cp:lastPrinted>
  <dcterms:created xsi:type="dcterms:W3CDTF">2012-05-09T22:10:51Z</dcterms:created>
  <dcterms:modified xsi:type="dcterms:W3CDTF">2019-07-01T16:45:45Z</dcterms:modified>
</cp:coreProperties>
</file>