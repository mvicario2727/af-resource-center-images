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landrus\Desktop\"/>
    </mc:Choice>
  </mc:AlternateContent>
  <bookViews>
    <workbookView xWindow="2580" yWindow="1670" windowWidth="29460" windowHeight="18980"/>
  </bookViews>
  <sheets>
    <sheet name="Coaching Proforma" sheetId="18" r:id="rId1"/>
    <sheet name="Coaching Projections" sheetId="19" r:id="rId2"/>
  </sheets>
  <calcPr calcId="152511"/>
</workbook>
</file>

<file path=xl/calcChain.xml><?xml version="1.0" encoding="utf-8"?>
<calcChain xmlns="http://schemas.openxmlformats.org/spreadsheetml/2006/main">
  <c r="B22" i="19" l="1"/>
  <c r="C22" i="19" s="1"/>
  <c r="F22" i="19" s="1"/>
  <c r="E22" i="19" l="1"/>
  <c r="G22" i="19"/>
  <c r="H22" i="19" s="1"/>
  <c r="C10" i="19"/>
  <c r="D10" i="19" s="1"/>
  <c r="E10" i="19" s="1"/>
  <c r="E7" i="19"/>
  <c r="D7" i="19"/>
  <c r="B18" i="19" l="1"/>
  <c r="C14" i="19" l="1"/>
  <c r="D14" i="19" l="1"/>
  <c r="E14" i="19" l="1"/>
  <c r="I19" i="18" l="1"/>
  <c r="F19" i="18"/>
  <c r="E9" i="18" l="1"/>
  <c r="N15" i="18"/>
  <c r="N16" i="18"/>
  <c r="N17" i="18"/>
  <c r="N18" i="18"/>
  <c r="K15" i="18"/>
  <c r="K16" i="18"/>
  <c r="K17" i="18"/>
  <c r="K18" i="18"/>
  <c r="E15" i="18"/>
  <c r="E16" i="18"/>
  <c r="E17" i="18"/>
  <c r="E18" i="18"/>
  <c r="H15" i="18"/>
  <c r="H16" i="18"/>
  <c r="H17" i="18"/>
  <c r="H18" i="18"/>
  <c r="C27" i="18"/>
  <c r="C26" i="18"/>
  <c r="C25" i="18"/>
  <c r="C24" i="18"/>
  <c r="C23" i="18"/>
  <c r="N14" i="18"/>
  <c r="K14" i="18"/>
  <c r="H14" i="18"/>
  <c r="E14" i="18"/>
  <c r="D9" i="18"/>
  <c r="D23" i="18" s="1"/>
  <c r="F5" i="18"/>
  <c r="E8" i="18" s="1"/>
  <c r="C18" i="19" s="1"/>
  <c r="F18" i="19" s="1"/>
  <c r="G18" i="19" s="1"/>
  <c r="H18" i="19" l="1"/>
  <c r="E18" i="19"/>
  <c r="L19" i="18"/>
  <c r="I9" i="18" s="1"/>
  <c r="E23" i="18"/>
  <c r="L23" i="18" s="1"/>
  <c r="D27" i="18"/>
  <c r="E25" i="18"/>
  <c r="D25" i="18"/>
  <c r="D26" i="18"/>
  <c r="E27" i="18"/>
  <c r="E24" i="18"/>
  <c r="D24" i="18"/>
  <c r="E26" i="18" l="1"/>
  <c r="L26" i="18" s="1"/>
  <c r="H26" i="18" s="1"/>
  <c r="J26" i="18" s="1"/>
  <c r="K26" i="18" s="1"/>
  <c r="L27" i="18"/>
  <c r="H27" i="18" s="1"/>
  <c r="J27" i="18" s="1"/>
  <c r="M27" i="18" s="1"/>
  <c r="N27" i="18" s="1"/>
  <c r="L25" i="18"/>
  <c r="H25" i="18" s="1"/>
  <c r="J25" i="18" s="1"/>
  <c r="I25" i="18" s="1"/>
  <c r="L24" i="18"/>
  <c r="H24" i="18" s="1"/>
  <c r="J24" i="18" s="1"/>
  <c r="I24" i="18" s="1"/>
  <c r="I27" i="18" l="1"/>
  <c r="K27" i="18"/>
  <c r="M25" i="18"/>
  <c r="N25" i="18" s="1"/>
  <c r="K25" i="18"/>
  <c r="M26" i="18"/>
  <c r="N26" i="18" s="1"/>
  <c r="I26" i="18"/>
  <c r="M24" i="18"/>
  <c r="N24" i="18" s="1"/>
  <c r="K24" i="18"/>
  <c r="G9" i="18"/>
  <c r="H6" i="19" l="1"/>
  <c r="B10" i="19" s="1"/>
  <c r="K9" i="18"/>
  <c r="H23" i="18"/>
  <c r="H10" i="19" l="1"/>
  <c r="G10" i="19" s="1"/>
  <c r="F10" i="19" s="1"/>
  <c r="B14" i="19"/>
  <c r="J23" i="18"/>
  <c r="F14" i="19" l="1"/>
  <c r="H14" i="19"/>
  <c r="G14" i="19"/>
  <c r="K23" i="18"/>
  <c r="I23" i="18"/>
  <c r="M23" i="18"/>
  <c r="N23" i="18" l="1"/>
  <c r="H9" i="18"/>
  <c r="L9" i="18" l="1"/>
  <c r="M9" i="18" s="1"/>
</calcChain>
</file>

<file path=xl/comments1.xml><?xml version="1.0" encoding="utf-8"?>
<comments xmlns="http://schemas.openxmlformats.org/spreadsheetml/2006/main">
  <authors>
    <author>Rachel Southard</author>
  </authors>
  <commentList>
    <comment ref="D5" authorId="0" shapeId="0">
      <text>
        <r>
          <rPr>
            <sz val="9"/>
            <color indexed="81"/>
            <rFont val="Tahoma"/>
            <family val="2"/>
          </rPr>
          <t>How much open functional space do you have for training? This will determine which services you should offer, the capacity for each service and the recommended pricing.</t>
        </r>
      </text>
    </comment>
    <comment ref="B9" authorId="0" shapeId="0">
      <text>
        <r>
          <rPr>
            <sz val="9"/>
            <color indexed="81"/>
            <rFont val="Tahoma"/>
            <family val="2"/>
          </rPr>
          <t xml:space="preserve">Pricing recommendations are based on national averages. Please adjust according to your geographical location. </t>
        </r>
      </text>
    </comment>
    <comment ref="C13" authorId="0" shapeId="0">
      <text>
        <r>
          <rPr>
            <sz val="9"/>
            <color indexed="81"/>
            <rFont val="Tahoma"/>
            <family val="2"/>
          </rPr>
          <t xml:space="preserve">Enter the base hourly wage you pay your staff. </t>
        </r>
      </text>
    </comment>
    <comment ref="D13" authorId="0" shapeId="0">
      <text>
        <r>
          <rPr>
            <sz val="9"/>
            <color indexed="81"/>
            <rFont val="Tahoma"/>
            <family val="2"/>
          </rPr>
          <t>Enter the total hours your staff will work in your club each week.</t>
        </r>
        <r>
          <rPr>
            <b/>
            <sz val="9"/>
            <color indexed="81"/>
            <rFont val="Tahoma"/>
            <family val="2"/>
          </rPr>
          <t xml:space="preserve"> </t>
        </r>
      </text>
    </comment>
    <comment ref="F13" authorId="0" shapeId="0">
      <text>
        <r>
          <rPr>
            <sz val="9"/>
            <color indexed="81"/>
            <rFont val="Tahoma"/>
            <family val="2"/>
          </rPr>
          <t xml:space="preserve">Enter the amount you will pay your trainer ON TOP of the base hourly wage for each 60 min Personal Training session serviced. </t>
        </r>
      </text>
    </comment>
    <comment ref="G13" authorId="0" shapeId="0">
      <text>
        <r>
          <rPr>
            <sz val="9"/>
            <color indexed="81"/>
            <rFont val="Tahoma"/>
            <family val="2"/>
          </rPr>
          <t xml:space="preserve">Enter the number of 60 min Personal Training sessions trainer will service each week. </t>
        </r>
      </text>
    </comment>
    <comment ref="I13" authorId="0" shapeId="0">
      <text>
        <r>
          <rPr>
            <sz val="9"/>
            <color indexed="81"/>
            <rFont val="Tahoma"/>
            <family val="2"/>
          </rPr>
          <t xml:space="preserve">Enter the amount you will pay your trainer ON TOP of the base hourly wage for each 60 min Small Group Training session serviced. </t>
        </r>
      </text>
    </comment>
    <comment ref="J13" authorId="0" shapeId="0">
      <text>
        <r>
          <rPr>
            <sz val="9"/>
            <color indexed="81"/>
            <rFont val="Tahoma"/>
            <family val="2"/>
          </rPr>
          <t xml:space="preserve">Enter the number of 60 min Small Group Training sessions trainer will service each week. </t>
        </r>
      </text>
    </comment>
    <comment ref="L13" authorId="0" shapeId="0">
      <text>
        <r>
          <rPr>
            <sz val="9"/>
            <color indexed="81"/>
            <rFont val="Tahoma"/>
            <family val="2"/>
          </rPr>
          <t xml:space="preserve">Enter the amount you will pay your trainer ON TOP of the base hourly wage for each 60 min Group Training session serviced. </t>
        </r>
      </text>
    </comment>
    <comment ref="M13" authorId="0" shapeId="0">
      <text>
        <r>
          <rPr>
            <sz val="9"/>
            <color indexed="81"/>
            <rFont val="Tahoma"/>
            <family val="2"/>
          </rPr>
          <t xml:space="preserve">Enter the number of 60 min GT sessions trainer will service each week. </t>
        </r>
      </text>
    </comment>
    <comment ref="F22" authorId="0" shapeId="0">
      <text>
        <r>
          <rPr>
            <sz val="9"/>
            <color indexed="81"/>
            <rFont val="Tahoma"/>
            <family val="2"/>
          </rPr>
          <t xml:space="preserve">Enter the percentage commission you will pay trainers for their individual pt sales. </t>
        </r>
      </text>
    </comment>
    <comment ref="G22" authorId="0" shapeId="0">
      <text>
        <r>
          <rPr>
            <sz val="9"/>
            <color indexed="81"/>
            <rFont val="Tahoma"/>
            <family val="2"/>
          </rPr>
          <t xml:space="preserve">Enter the percentage commission you will pay trainers for the total department sales. (usually reserved for MXM) 
</t>
        </r>
      </text>
    </comment>
  </commentList>
</comments>
</file>

<file path=xl/comments2.xml><?xml version="1.0" encoding="utf-8"?>
<comments xmlns="http://schemas.openxmlformats.org/spreadsheetml/2006/main">
  <authors>
    <author>Rachel Southard</author>
  </authors>
  <commentList>
    <comment ref="B6" authorId="0" shapeId="0">
      <text>
        <r>
          <rPr>
            <sz val="9"/>
            <color indexed="81"/>
            <rFont val="Tahoma"/>
            <family val="2"/>
          </rPr>
          <t>How many new members do you sign up on average each month?</t>
        </r>
      </text>
    </comment>
    <comment ref="C6" authorId="0" shapeId="0">
      <text>
        <r>
          <rPr>
            <sz val="9"/>
            <color indexed="81"/>
            <rFont val="Tahoma"/>
            <family val="2"/>
          </rPr>
          <t>What is the percentage of new members that get an FC booked at the Point of Sale? We recommend 90%</t>
        </r>
        <r>
          <rPr>
            <b/>
            <sz val="9"/>
            <color indexed="81"/>
            <rFont val="Tahoma"/>
            <family val="2"/>
          </rPr>
          <t xml:space="preserve">
</t>
        </r>
      </text>
    </comment>
    <comment ref="D6" authorId="0" shapeId="0">
      <text>
        <r>
          <rPr>
            <sz val="9"/>
            <color indexed="81"/>
            <rFont val="Tahoma"/>
            <family val="2"/>
          </rPr>
          <t>What is the percentage of FC appointments that show up for their appointment? We recommend 70%</t>
        </r>
      </text>
    </comment>
    <comment ref="E6" authorId="0" shapeId="0">
      <text>
        <r>
          <rPr>
            <sz val="9"/>
            <color indexed="81"/>
            <rFont val="Tahoma"/>
            <family val="2"/>
          </rPr>
          <t>What is the percentage of FC appointments that purchase pt services.   We recommend 35%</t>
        </r>
      </text>
    </comment>
    <comment ref="F6" authorId="0" shapeId="0">
      <text>
        <r>
          <rPr>
            <sz val="9"/>
            <color indexed="81"/>
            <rFont val="Tahoma"/>
            <family val="2"/>
          </rPr>
          <t>What is the average monthly pt pacackage that you sell? System wide average is $152</t>
        </r>
      </text>
    </comment>
    <comment ref="G6" authorId="0" shapeId="0">
      <text>
        <r>
          <rPr>
            <sz val="9"/>
            <color indexed="81"/>
            <rFont val="Tahoma"/>
            <family val="2"/>
          </rPr>
          <t xml:space="preserve">How many months would you like it to take your team to reach the goals on the first tab? </t>
        </r>
      </text>
    </comment>
    <comment ref="H6" authorId="0" shapeId="0">
      <text>
        <r>
          <rPr>
            <sz val="9"/>
            <color indexed="81"/>
            <rFont val="Tahoma"/>
            <family val="2"/>
          </rPr>
          <t xml:space="preserve">The amount you will add to your draft each month. This will automatically pull in the amount in Tab 1 Cell G9 divided by the number of months in Tab 2 Cell G6. </t>
        </r>
      </text>
    </comment>
    <comment ref="F10" authorId="0" shapeId="0">
      <text>
        <r>
          <rPr>
            <sz val="9"/>
            <color indexed="81"/>
            <rFont val="Tahoma"/>
            <family val="2"/>
          </rPr>
          <t xml:space="preserve">If less than 0, cells will black out. That means you don't need any sales from Follow-ups to hit goals. </t>
        </r>
      </text>
    </comment>
    <comment ref="G10" authorId="0" shapeId="0">
      <text>
        <r>
          <rPr>
            <sz val="9"/>
            <color indexed="81"/>
            <rFont val="Tahoma"/>
            <family val="2"/>
          </rPr>
          <t xml:space="preserve">If less than 0, cells will black out. That means you don't need any sales from Follow-ups to hit goals. </t>
        </r>
      </text>
    </comment>
    <comment ref="H10" authorId="0" shapeId="0">
      <text>
        <r>
          <rPr>
            <sz val="9"/>
            <color indexed="81"/>
            <rFont val="Tahoma"/>
            <family val="2"/>
          </rPr>
          <t xml:space="preserve">If less than 0, cells will black out. That means you don't need any sales from Follow-ups to hit goals. </t>
        </r>
      </text>
    </comment>
    <comment ref="F14" authorId="0" shapeId="0">
      <text>
        <r>
          <rPr>
            <sz val="9"/>
            <color indexed="81"/>
            <rFont val="Tahoma"/>
            <family val="2"/>
          </rPr>
          <t xml:space="preserve">If less than 0, cells will black out. That means you don't need any sales from Follow-ups to hit goals. </t>
        </r>
      </text>
    </comment>
    <comment ref="G14" authorId="0" shapeId="0">
      <text>
        <r>
          <rPr>
            <sz val="9"/>
            <color indexed="81"/>
            <rFont val="Tahoma"/>
            <family val="2"/>
          </rPr>
          <t xml:space="preserve">If less than 0, cells will black out. That means you don't need any sales from Follow-ups to hit goals. </t>
        </r>
      </text>
    </comment>
    <comment ref="H14" authorId="0" shapeId="0">
      <text>
        <r>
          <rPr>
            <sz val="9"/>
            <color indexed="81"/>
            <rFont val="Tahoma"/>
            <family val="2"/>
          </rPr>
          <t xml:space="preserve">If less than 0, cells will black out. That means you don't need any sales from Follow-ups to hit goals. </t>
        </r>
      </text>
    </comment>
    <comment ref="B18" authorId="0" shapeId="0">
      <text>
        <r>
          <rPr>
            <sz val="9"/>
            <color indexed="81"/>
            <rFont val="Tahoma"/>
            <family val="2"/>
          </rPr>
          <t xml:space="preserve">This number is pulled from tab one based on how many Team Workouts your staff is executing each week. </t>
        </r>
      </text>
    </comment>
    <comment ref="C18" authorId="0" shapeId="0">
      <text>
        <r>
          <rPr>
            <sz val="9"/>
            <color indexed="81"/>
            <rFont val="Tahoma"/>
            <family val="2"/>
          </rPr>
          <t xml:space="preserve">The number of 30 Day TE that need to be sold before you launch AF Live. This ensures all sessions are full during the first 30 days to bring energy and excitement to your club! </t>
        </r>
      </text>
    </comment>
    <comment ref="D18" authorId="0" shapeId="0">
      <text>
        <r>
          <rPr>
            <sz val="9"/>
            <color indexed="81"/>
            <rFont val="Tahoma"/>
            <family val="2"/>
          </rPr>
          <t xml:space="preserve">We recommend $79 and not to discount to avoid 'sticker shot' when it's time to convert. </t>
        </r>
      </text>
    </comment>
    <comment ref="F18" authorId="0" shapeId="0">
      <text>
        <r>
          <rPr>
            <sz val="9"/>
            <color indexed="81"/>
            <rFont val="Tahoma"/>
            <family val="2"/>
          </rPr>
          <t xml:space="preserve">Your team should convert 35% of paid trials to long-term clients. </t>
        </r>
      </text>
    </comment>
    <comment ref="B22" authorId="0" shapeId="0">
      <text>
        <r>
          <rPr>
            <sz val="9"/>
            <color indexed="81"/>
            <rFont val="Tahoma"/>
            <family val="2"/>
          </rPr>
          <t xml:space="preserve">This number is pulled from tab one based on how many Small Group Training sessions your staff is executing each week. </t>
        </r>
      </text>
    </comment>
    <comment ref="C22" authorId="0" shapeId="0">
      <text>
        <r>
          <rPr>
            <sz val="9"/>
            <color indexed="81"/>
            <rFont val="Tahoma"/>
            <family val="2"/>
          </rPr>
          <t xml:space="preserve">The number of 30 Day TE that need to be sold before you launch AF Live. This ensures all sessions are full during the first 30 days to bring energy and excitement to your club! </t>
        </r>
      </text>
    </comment>
    <comment ref="D22" authorId="0" shapeId="0">
      <text>
        <r>
          <rPr>
            <sz val="9"/>
            <color indexed="81"/>
            <rFont val="Tahoma"/>
            <family val="2"/>
          </rPr>
          <t xml:space="preserve">We recommend $179 and not to discount to avoid 'sticker shot' when it's time to convert. </t>
        </r>
      </text>
    </comment>
    <comment ref="F22" authorId="0" shapeId="0">
      <text>
        <r>
          <rPr>
            <sz val="9"/>
            <color indexed="81"/>
            <rFont val="Tahoma"/>
            <family val="2"/>
          </rPr>
          <t xml:space="preserve">Your team should convert 35% of paid trials to long-term clients. </t>
        </r>
      </text>
    </comment>
  </commentList>
</comments>
</file>

<file path=xl/sharedStrings.xml><?xml version="1.0" encoding="utf-8"?>
<sst xmlns="http://schemas.openxmlformats.org/spreadsheetml/2006/main" count="112" uniqueCount="81">
  <si>
    <t>MXM</t>
  </si>
  <si>
    <t>“This proforma is being provided to you as a franchisee in the Anytime Fitness system.  It is intended as a tool to assist you in evaluating your personal training programming, however we make no warranty regarding any particular results or accuracy of the information herein.  Anytime Fitness, LLC does not provide or recommend revenue estimates or cost assumptions for your club, nor do we recommend particular compensation or other employment terms for your personnel.  Once you make your own assumptions, the proforma populates the various columns using your assumptions.  You may wish to consult with an accountant or other personal advisor to assist you in completing this proforma, and in analyzing any results produced.”</t>
  </si>
  <si>
    <t xml:space="preserve">FC Close % </t>
  </si>
  <si>
    <t xml:space="preserve">Small Group Training </t>
  </si>
  <si>
    <t xml:space="preserve">Hourly Wage </t>
  </si>
  <si>
    <t>Coach 1</t>
  </si>
  <si>
    <t>Coach 2</t>
  </si>
  <si>
    <t>Coach 3</t>
  </si>
  <si>
    <t>Coach 4</t>
  </si>
  <si>
    <t xml:space="preserve">Individual Gross Percentage </t>
  </si>
  <si>
    <t xml:space="preserve">Department Gross Percentage </t>
  </si>
  <si>
    <t xml:space="preserve">Bonus/Commisions Pay </t>
  </si>
  <si>
    <t xml:space="preserve">Monthly </t>
  </si>
  <si>
    <t xml:space="preserve">Average Hourly </t>
  </si>
  <si>
    <t xml:space="preserve">SGT Compensation </t>
  </si>
  <si>
    <t>Base Compensation</t>
  </si>
  <si>
    <t>Shift</t>
  </si>
  <si>
    <t xml:space="preserve">Total Compensation </t>
  </si>
  <si>
    <t xml:space="preserve">Total Monthly </t>
  </si>
  <si>
    <t xml:space="preserve">Total Annual </t>
  </si>
  <si>
    <t>Commission Compensation</t>
  </si>
  <si>
    <t xml:space="preserve">Revenue </t>
  </si>
  <si>
    <t xml:space="preserve">Revenue Generated </t>
  </si>
  <si>
    <t xml:space="preserve">Capacity </t>
  </si>
  <si>
    <t xml:space="preserve">Pricing </t>
  </si>
  <si>
    <t xml:space="preserve">Payroll </t>
  </si>
  <si>
    <t xml:space="preserve">Gross Profit Margins </t>
  </si>
  <si>
    <t>Staff P&amp;L Summary</t>
  </si>
  <si>
    <t>Monthly Department P&amp;L Summary</t>
  </si>
  <si>
    <t>Annual Department P&amp;L Summary</t>
  </si>
  <si>
    <t xml:space="preserve">SGT Sessions Serviced </t>
  </si>
  <si>
    <t xml:space="preserve">Weekly </t>
  </si>
  <si>
    <t xml:space="preserve">Total  Hours </t>
  </si>
  <si>
    <t>Weekly</t>
  </si>
  <si>
    <t>Monthly</t>
  </si>
  <si>
    <t xml:space="preserve">Insert data into double red cells. </t>
  </si>
  <si>
    <t xml:space="preserve">Client Count </t>
  </si>
  <si>
    <t>*All sessions 60 minutes 
*4.3 weeks per month 
*2 visits per week average per client</t>
  </si>
  <si>
    <t>PT Clients</t>
  </si>
  <si>
    <t>SGT Clients</t>
  </si>
  <si>
    <t xml:space="preserve">FC Show % </t>
  </si>
  <si>
    <t xml:space="preserve">New Client Count </t>
  </si>
  <si>
    <t xml:space="preserve">Projected Draft Added </t>
  </si>
  <si>
    <t xml:space="preserve">KPI Goals </t>
  </si>
  <si>
    <t xml:space="preserve">Feeder Revenue </t>
  </si>
  <si>
    <t xml:space="preserve">Functional Space 
Square Footage </t>
  </si>
  <si>
    <t>SGT Session Compensation</t>
  </si>
  <si>
    <t xml:space="preserve">Paid Trial Cost </t>
  </si>
  <si>
    <t xml:space="preserve">Total Agreement Value </t>
  </si>
  <si>
    <t>Avg PT Monthly Package Value</t>
  </si>
  <si>
    <t xml:space="preserve">Average Monthly New Members </t>
  </si>
  <si>
    <t xml:space="preserve">Paid Trials Count Goal </t>
  </si>
  <si>
    <t xml:space="preserve">Monthly Activity Goals </t>
  </si>
  <si>
    <t xml:space="preserve">Weekly Activity Goals </t>
  </si>
  <si>
    <t xml:space="preserve">Months to Goal </t>
  </si>
  <si>
    <t>Monthly add to Draft Goal</t>
  </si>
  <si>
    <t xml:space="preserve">Follow Up/TE Conversions Book </t>
  </si>
  <si>
    <t>Follow Up/TE Conversions Show</t>
  </si>
  <si>
    <t>Follow Up/TE Conversions Close</t>
  </si>
  <si>
    <t>*Average monthly package in Club OS equals $152
*Average total agreement value in Club OS equals $1824
*Clients workout average of 2X per week</t>
  </si>
  <si>
    <t>Recommendations</t>
  </si>
  <si>
    <t>Total New Packages Needed</t>
  </si>
  <si>
    <t xml:space="preserve">AF Training Projections </t>
  </si>
  <si>
    <t>30 Day Training Experience to Launch Team Workouts</t>
  </si>
  <si>
    <t>30 Day Training Experience to Launch Small Group Training</t>
  </si>
  <si>
    <t>Weekly Team Workouts</t>
  </si>
  <si>
    <t>Weekly SGT Sessions</t>
  </si>
  <si>
    <t>AF Training Proforma</t>
  </si>
  <si>
    <t>Team Workouts</t>
  </si>
  <si>
    <t>Team Sessions Serviced</t>
  </si>
  <si>
    <t xml:space="preserve">Team Compensation </t>
  </si>
  <si>
    <t>Team Session Compensation</t>
  </si>
  <si>
    <t>Team Clients</t>
  </si>
  <si>
    <t xml:space="preserve">One-on-One Training </t>
  </si>
  <si>
    <t xml:space="preserve"> One-on-One
Compensation</t>
  </si>
  <si>
    <t>One-on-One Serviced</t>
  </si>
  <si>
    <t>One-on-One Compensation</t>
  </si>
  <si>
    <t xml:space="preserve">FCs @ POS % </t>
  </si>
  <si>
    <t xml:space="preserve">FCs @ POS Book </t>
  </si>
  <si>
    <t>FCs @ POS Show</t>
  </si>
  <si>
    <t xml:space="preserve">FCs @ POS Close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</si>
</sst>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_);[Red]\(&quot;$&quot;#,##0\)"/>
    <numFmt numFmtId="8" formatCode="&quot;$&quot;#,##0.00_);[Red]\(&quot;$&quot;#,##0.00\)"/>
    <numFmt numFmtId="164" formatCode="&quot;$&quot;#,##0"/>
    <numFmt numFmtId="165" formatCode="&quot;$&quot;#,##0.00"/>
  </numFmts>
  <fonts count="20" x14ac:knownFonts="1">
    <font>
      <sz val="12"/>
      <color indexed="8"/>
      <name val="Verdana"/>
    </font>
    <font>
      <u/>
      <sz val="12"/>
      <color theme="10"/>
      <name val="Verdana"/>
      <family val="2"/>
    </font>
    <font>
      <u/>
      <sz val="12"/>
      <color theme="11"/>
      <name val="Verdana"/>
      <family val="2"/>
    </font>
    <font>
      <sz val="11"/>
      <color indexed="8"/>
      <name val="Calibri Light"/>
      <family val="2"/>
    </font>
    <font>
      <b/>
      <sz val="11"/>
      <color rgb="FF0070C0"/>
      <name val="Calibri Light"/>
      <family val="2"/>
    </font>
    <font>
      <b/>
      <sz val="11"/>
      <name val="Calibri Light"/>
      <family val="2"/>
    </font>
    <font>
      <sz val="11"/>
      <name val="Calibri Light"/>
      <family val="2"/>
    </font>
    <font>
      <b/>
      <sz val="11"/>
      <color rgb="FF006C31"/>
      <name val="Calibri Light"/>
      <family val="2"/>
    </font>
    <font>
      <sz val="11"/>
      <color theme="0"/>
      <name val="Calibri Light"/>
      <family val="2"/>
    </font>
    <font>
      <b/>
      <sz val="14"/>
      <color indexed="8"/>
      <name val="Calibri Light"/>
      <family val="2"/>
    </font>
    <font>
      <b/>
      <sz val="11"/>
      <color indexed="8"/>
      <name val="Calibri Light"/>
      <family val="2"/>
    </font>
    <font>
      <i/>
      <sz val="11"/>
      <color indexed="8"/>
      <name val="Calibri Light"/>
      <family val="2"/>
    </font>
    <font>
      <b/>
      <sz val="11"/>
      <color theme="0"/>
      <name val="Calibri Light"/>
      <family val="2"/>
    </font>
    <font>
      <sz val="9"/>
      <color indexed="81"/>
      <name val="Tahoma"/>
      <family val="2"/>
    </font>
    <font>
      <b/>
      <sz val="9"/>
      <color indexed="81"/>
      <name val="Tahoma"/>
      <family val="2"/>
    </font>
    <font>
      <i/>
      <sz val="9"/>
      <name val="Calibri Light"/>
      <family val="2"/>
    </font>
    <font>
      <sz val="11"/>
      <color rgb="FF1F497D"/>
      <name val="Calibri Light"/>
      <family val="2"/>
    </font>
    <font>
      <i/>
      <sz val="11"/>
      <name val="Calibri Light"/>
      <family val="2"/>
    </font>
    <font>
      <sz val="9"/>
      <color rgb="FF1F497D"/>
      <name val="Calibri Light"/>
      <family val="2"/>
    </font>
    <font>
      <i/>
      <sz val="8"/>
      <color indexed="8"/>
      <name val="Calibri Light"/>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F9EAB9"/>
        <bgColor indexed="64"/>
      </patternFill>
    </fill>
  </fills>
  <borders count="33">
    <border>
      <left/>
      <right/>
      <top/>
      <bottom/>
      <diagonal/>
    </border>
    <border>
      <left/>
      <right/>
      <top/>
      <bottom/>
      <diagonal/>
    </border>
    <border>
      <left style="thick">
        <color theme="0"/>
      </left>
      <right style="thick">
        <color theme="0"/>
      </right>
      <top style="thick">
        <color theme="0"/>
      </top>
      <bottom style="thick">
        <color theme="0"/>
      </bottom>
      <diagonal/>
    </border>
    <border>
      <left/>
      <right/>
      <top/>
      <bottom style="thick">
        <color theme="0"/>
      </bottom>
      <diagonal/>
    </border>
    <border>
      <left/>
      <right style="thick">
        <color theme="0"/>
      </right>
      <top style="thick">
        <color theme="0"/>
      </top>
      <bottom style="thick">
        <color theme="0"/>
      </bottom>
      <diagonal/>
    </border>
    <border>
      <left style="thick">
        <color theme="2" tint="-9.9978637043366805E-2"/>
      </left>
      <right style="thick">
        <color theme="2" tint="-9.9978637043366805E-2"/>
      </right>
      <top style="thick">
        <color theme="2" tint="-9.9978637043366805E-2"/>
      </top>
      <bottom style="thick">
        <color theme="2" tint="-9.9978637043366805E-2"/>
      </bottom>
      <diagonal/>
    </border>
    <border>
      <left style="thick">
        <color theme="2" tint="-9.9978637043366805E-2"/>
      </left>
      <right/>
      <top style="thick">
        <color theme="2" tint="-9.9978637043366805E-2"/>
      </top>
      <bottom style="thick">
        <color theme="2" tint="-9.9978637043366805E-2"/>
      </bottom>
      <diagonal/>
    </border>
    <border>
      <left/>
      <right style="thick">
        <color theme="2" tint="-9.9978637043366805E-2"/>
      </right>
      <top style="thick">
        <color theme="2" tint="-9.9978637043366805E-2"/>
      </top>
      <bottom style="thick">
        <color theme="2" tint="-9.9978637043366805E-2"/>
      </bottom>
      <diagonal/>
    </border>
    <border>
      <left style="thick">
        <color theme="2" tint="-9.9978637043366805E-2"/>
      </left>
      <right/>
      <top style="thick">
        <color theme="2" tint="-9.9978637043366805E-2"/>
      </top>
      <bottom/>
      <diagonal/>
    </border>
    <border>
      <left/>
      <right/>
      <top style="thick">
        <color theme="2" tint="-9.9978637043366805E-2"/>
      </top>
      <bottom/>
      <diagonal/>
    </border>
    <border>
      <left/>
      <right style="thick">
        <color theme="2" tint="-9.9978637043366805E-2"/>
      </right>
      <top style="thick">
        <color theme="2" tint="-9.9978637043366805E-2"/>
      </top>
      <bottom/>
      <diagonal/>
    </border>
    <border>
      <left style="thick">
        <color theme="2" tint="-9.9978637043366805E-2"/>
      </left>
      <right/>
      <top/>
      <bottom style="thick">
        <color theme="2" tint="-9.9978637043366805E-2"/>
      </bottom>
      <diagonal/>
    </border>
    <border>
      <left/>
      <right/>
      <top/>
      <bottom style="thick">
        <color theme="2" tint="-9.9978637043366805E-2"/>
      </bottom>
      <diagonal/>
    </border>
    <border>
      <left/>
      <right style="thick">
        <color theme="2" tint="-9.9978637043366805E-2"/>
      </right>
      <top/>
      <bottom style="thick">
        <color theme="2" tint="-9.9978637043366805E-2"/>
      </bottom>
      <diagonal/>
    </border>
    <border>
      <left style="thick">
        <color theme="2" tint="-9.9978637043366805E-2"/>
      </left>
      <right style="thick">
        <color theme="2" tint="-9.9978637043366805E-2"/>
      </right>
      <top style="thick">
        <color theme="2" tint="-9.9978637043366805E-2"/>
      </top>
      <bottom/>
      <diagonal/>
    </border>
    <border>
      <left style="thick">
        <color theme="2" tint="-9.9978637043366805E-2"/>
      </left>
      <right style="thick">
        <color theme="2" tint="-9.9978637043366805E-2"/>
      </right>
      <top/>
      <bottom style="thick">
        <color theme="2" tint="-9.9978637043366805E-2"/>
      </bottom>
      <diagonal/>
    </border>
    <border>
      <left/>
      <right/>
      <top style="thick">
        <color theme="2" tint="-9.9978637043366805E-2"/>
      </top>
      <bottom style="thick">
        <color theme="2" tint="-9.9978637043366805E-2"/>
      </bottom>
      <diagonal/>
    </border>
    <border>
      <left style="thick">
        <color theme="2" tint="-9.9978637043366805E-2"/>
      </left>
      <right/>
      <top style="thick">
        <color theme="2" tint="-9.9978637043366805E-2"/>
      </top>
      <bottom style="thick">
        <color theme="0"/>
      </bottom>
      <diagonal/>
    </border>
    <border>
      <left style="thick">
        <color theme="2" tint="-9.9978637043366805E-2"/>
      </left>
      <right style="thick">
        <color theme="2" tint="-9.9978637043366805E-2"/>
      </right>
      <top style="thick">
        <color theme="0"/>
      </top>
      <bottom style="thick">
        <color theme="2" tint="-9.9978637043366805E-2"/>
      </bottom>
      <diagonal/>
    </border>
    <border>
      <left style="thick">
        <color theme="2" tint="-9.9978637043366805E-2"/>
      </left>
      <right style="thick">
        <color theme="2" tint="-9.9978637043366805E-2"/>
      </right>
      <top style="thick">
        <color theme="2" tint="-9.9978637043366805E-2"/>
      </top>
      <bottom style="thick">
        <color theme="0"/>
      </bottom>
      <diagonal/>
    </border>
    <border>
      <left style="double">
        <color rgb="FFFF0000"/>
      </left>
      <right style="double">
        <color rgb="FFFF0000"/>
      </right>
      <top style="double">
        <color rgb="FFFF0000"/>
      </top>
      <bottom style="double">
        <color rgb="FFFF0000"/>
      </bottom>
      <diagonal/>
    </border>
    <border>
      <left/>
      <right style="double">
        <color rgb="FFFF0000"/>
      </right>
      <top style="double">
        <color rgb="FFFF0000"/>
      </top>
      <bottom style="double">
        <color rgb="FFFF0000"/>
      </bottom>
      <diagonal/>
    </border>
    <border>
      <left style="double">
        <color rgb="FFFF0000"/>
      </left>
      <right style="double">
        <color rgb="FFFF0000"/>
      </right>
      <top/>
      <bottom/>
      <diagonal/>
    </border>
    <border>
      <left/>
      <right style="double">
        <color rgb="FFFF0000"/>
      </right>
      <top/>
      <bottom/>
      <diagonal/>
    </border>
    <border>
      <left style="double">
        <color rgb="FFFF0000"/>
      </left>
      <right style="double">
        <color rgb="FFFF0000"/>
      </right>
      <top/>
      <bottom style="double">
        <color rgb="FFFF0000"/>
      </bottom>
      <diagonal/>
    </border>
    <border>
      <left/>
      <right style="double">
        <color rgb="FFFF0000"/>
      </right>
      <top/>
      <bottom style="double">
        <color rgb="FFFF0000"/>
      </bottom>
      <diagonal/>
    </border>
    <border>
      <left/>
      <right style="double">
        <color rgb="FFFF0000"/>
      </right>
      <top style="double">
        <color rgb="FFFF0000"/>
      </top>
      <bottom/>
      <diagonal/>
    </border>
    <border>
      <left style="double">
        <color rgb="FFFF0000"/>
      </left>
      <right style="double">
        <color rgb="FFFF0000"/>
      </right>
      <top style="double">
        <color rgb="FFFF0000"/>
      </top>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style="medium">
        <color theme="2" tint="-0.249977111117893"/>
      </left>
      <right/>
      <top/>
      <bottom/>
      <diagonal/>
    </border>
    <border>
      <left style="thick">
        <color theme="2" tint="-9.9978637043366805E-2"/>
      </left>
      <right style="medium">
        <color theme="2" tint="-0.249977111117893"/>
      </right>
      <top style="thick">
        <color theme="2" tint="-9.9978637043366805E-2"/>
      </top>
      <bottom style="thick">
        <color theme="2" tint="-9.9978637043366805E-2"/>
      </bottom>
      <diagonal/>
    </border>
    <border>
      <left style="double">
        <color rgb="FFFF0000"/>
      </left>
      <right style="medium">
        <color theme="2" tint="-0.249977111117893"/>
      </right>
      <top style="medium">
        <color theme="2" tint="-0.249977111117893"/>
      </top>
      <bottom style="medium">
        <color theme="2" tint="-0.249977111117893"/>
      </bottom>
      <diagonal/>
    </border>
  </borders>
  <cellStyleXfs count="15">
    <xf numFmtId="0" fontId="0" fillId="0" borderId="0" applyNumberFormat="0" applyFill="0" applyBorder="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1"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cellStyleXfs>
  <cellXfs count="163">
    <xf numFmtId="0" fontId="0" fillId="0" borderId="0" xfId="0" applyFont="1" applyAlignment="1">
      <alignment vertical="top" wrapText="1"/>
    </xf>
    <xf numFmtId="0" fontId="3" fillId="2" borderId="0" xfId="0" applyFont="1" applyFill="1" applyAlignment="1" applyProtection="1">
      <alignment horizontal="center" vertical="center" wrapText="1"/>
    </xf>
    <xf numFmtId="0" fontId="5" fillId="2" borderId="0" xfId="0" applyFont="1" applyFill="1" applyAlignment="1" applyProtection="1">
      <alignment horizontal="center" vertical="center"/>
    </xf>
    <xf numFmtId="0" fontId="6" fillId="0" borderId="0" xfId="0" applyFont="1" applyFill="1" applyAlignment="1" applyProtection="1">
      <alignment horizontal="center" vertical="center"/>
    </xf>
    <xf numFmtId="0" fontId="6" fillId="2" borderId="0" xfId="0" applyFont="1" applyFill="1" applyAlignment="1" applyProtection="1">
      <alignment horizontal="center" vertical="center"/>
    </xf>
    <xf numFmtId="0" fontId="3" fillId="2" borderId="0" xfId="0" applyFont="1" applyFill="1" applyAlignment="1" applyProtection="1">
      <alignment horizontal="center" vertical="center"/>
    </xf>
    <xf numFmtId="0" fontId="7" fillId="0" borderId="0" xfId="0" applyFont="1" applyFill="1" applyAlignment="1" applyProtection="1">
      <alignment horizontal="center" vertical="center"/>
    </xf>
    <xf numFmtId="0" fontId="3" fillId="2" borderId="1" xfId="0" applyFont="1" applyFill="1" applyBorder="1" applyAlignment="1" applyProtection="1">
      <alignment horizontal="center" vertical="center"/>
    </xf>
    <xf numFmtId="0" fontId="3" fillId="2" borderId="0" xfId="0" applyFont="1" applyFill="1" applyAlignment="1" applyProtection="1">
      <alignment vertical="center" wrapText="1"/>
    </xf>
    <xf numFmtId="0" fontId="8" fillId="2" borderId="0" xfId="0" applyFont="1" applyFill="1" applyAlignment="1" applyProtection="1">
      <alignment horizontal="center" vertical="center" wrapText="1"/>
    </xf>
    <xf numFmtId="0" fontId="12" fillId="0" borderId="0" xfId="0" applyFont="1" applyFill="1" applyAlignment="1" applyProtection="1">
      <alignment horizontal="center" vertical="center"/>
    </xf>
    <xf numFmtId="0" fontId="3" fillId="0" borderId="1" xfId="0" applyFont="1" applyFill="1" applyBorder="1" applyAlignment="1" applyProtection="1">
      <alignment horizontal="center" vertical="center" wrapText="1"/>
    </xf>
    <xf numFmtId="0" fontId="15" fillId="2" borderId="1" xfId="0" applyFont="1" applyFill="1" applyBorder="1" applyAlignment="1" applyProtection="1">
      <alignment vertical="top" wrapText="1"/>
    </xf>
    <xf numFmtId="0" fontId="17" fillId="2" borderId="0" xfId="0" applyFont="1" applyFill="1" applyAlignment="1" applyProtection="1">
      <alignment horizontal="right" wrapText="1"/>
    </xf>
    <xf numFmtId="0" fontId="3" fillId="0" borderId="0" xfId="0" applyFont="1" applyAlignment="1" applyProtection="1">
      <alignment vertical="top" wrapText="1"/>
    </xf>
    <xf numFmtId="0" fontId="3" fillId="0" borderId="1" xfId="0" applyFont="1" applyFill="1" applyBorder="1" applyAlignment="1" applyProtection="1">
      <alignment vertical="top" wrapText="1"/>
    </xf>
    <xf numFmtId="0" fontId="3" fillId="12" borderId="8" xfId="0" applyFont="1" applyFill="1" applyBorder="1" applyAlignment="1" applyProtection="1">
      <alignment horizontal="center" vertical="center" wrapText="1"/>
    </xf>
    <xf numFmtId="0" fontId="3" fillId="10" borderId="9" xfId="0" applyFont="1" applyFill="1" applyBorder="1" applyAlignment="1" applyProtection="1">
      <alignment horizontal="center" vertical="center" wrapText="1"/>
    </xf>
    <xf numFmtId="0" fontId="3" fillId="9" borderId="9" xfId="0" applyFont="1" applyFill="1" applyBorder="1" applyAlignment="1" applyProtection="1">
      <alignment horizontal="center" vertical="center" wrapText="1"/>
    </xf>
    <xf numFmtId="0" fontId="3" fillId="6" borderId="10" xfId="0" applyFont="1" applyFill="1" applyBorder="1" applyAlignment="1" applyProtection="1">
      <alignment horizontal="center" vertical="center" wrapText="1"/>
    </xf>
    <xf numFmtId="0" fontId="3" fillId="7" borderId="9" xfId="0" applyFont="1" applyFill="1" applyBorder="1" applyAlignment="1" applyProtection="1">
      <alignment horizontal="center" vertical="center" wrapText="1"/>
    </xf>
    <xf numFmtId="0" fontId="3" fillId="11" borderId="9" xfId="0" applyFont="1" applyFill="1" applyBorder="1" applyAlignment="1" applyProtection="1">
      <alignment horizontal="center" vertical="center" wrapText="1"/>
    </xf>
    <xf numFmtId="0" fontId="3" fillId="8" borderId="9" xfId="0" applyFont="1" applyFill="1" applyBorder="1" applyAlignment="1" applyProtection="1">
      <alignment horizontal="center" vertical="center" wrapText="1"/>
    </xf>
    <xf numFmtId="164" fontId="3" fillId="0" borderId="32" xfId="0" applyNumberFormat="1" applyFont="1" applyFill="1" applyBorder="1" applyAlignment="1" applyProtection="1">
      <alignment horizontal="center" vertical="center" wrapText="1"/>
    </xf>
    <xf numFmtId="164" fontId="3" fillId="0" borderId="30" xfId="0" applyNumberFormat="1" applyFont="1" applyFill="1" applyBorder="1" applyAlignment="1" applyProtection="1">
      <alignment horizontal="center" vertical="center" wrapText="1"/>
    </xf>
    <xf numFmtId="0" fontId="8" fillId="0" borderId="0" xfId="0" applyFont="1" applyAlignment="1" applyProtection="1">
      <alignment vertical="top" wrapText="1"/>
    </xf>
    <xf numFmtId="0" fontId="3" fillId="0" borderId="1" xfId="0" applyFont="1" applyBorder="1" applyAlignment="1" applyProtection="1">
      <alignment vertical="top" wrapText="1"/>
    </xf>
    <xf numFmtId="0" fontId="3" fillId="12" borderId="16" xfId="0" applyFont="1" applyFill="1" applyBorder="1" applyAlignment="1" applyProtection="1">
      <alignment horizontal="center" vertical="center" wrapText="1"/>
    </xf>
    <xf numFmtId="0" fontId="3" fillId="10" borderId="16" xfId="0" applyFont="1" applyFill="1" applyBorder="1" applyAlignment="1" applyProtection="1">
      <alignment horizontal="center" vertical="center" wrapText="1"/>
    </xf>
    <xf numFmtId="0" fontId="3" fillId="9" borderId="10" xfId="0" applyFont="1" applyFill="1" applyBorder="1" applyAlignment="1" applyProtection="1">
      <alignment horizontal="center" vertical="center" wrapText="1"/>
    </xf>
    <xf numFmtId="0" fontId="3" fillId="6" borderId="16" xfId="0" applyFont="1" applyFill="1" applyBorder="1" applyAlignment="1" applyProtection="1">
      <alignment horizontal="center" vertical="center" wrapText="1"/>
    </xf>
    <xf numFmtId="0" fontId="3" fillId="7" borderId="16" xfId="0" applyFont="1" applyFill="1" applyBorder="1" applyAlignment="1" applyProtection="1">
      <alignment horizontal="center" vertical="center" wrapText="1"/>
    </xf>
    <xf numFmtId="0" fontId="3" fillId="11" borderId="10" xfId="0" applyFont="1" applyFill="1" applyBorder="1" applyAlignment="1" applyProtection="1">
      <alignment horizontal="center" vertical="center" wrapText="1"/>
    </xf>
    <xf numFmtId="0" fontId="3" fillId="8" borderId="6" xfId="0" applyFont="1" applyFill="1" applyBorder="1" applyAlignment="1" applyProtection="1">
      <alignment horizontal="center" vertical="center" wrapText="1"/>
    </xf>
    <xf numFmtId="38" fontId="3" fillId="0" borderId="11" xfId="0" applyNumberFormat="1" applyFont="1" applyFill="1" applyBorder="1" applyAlignment="1" applyProtection="1">
      <alignment horizontal="center" vertical="center" wrapText="1"/>
    </xf>
    <xf numFmtId="0" fontId="3" fillId="0" borderId="11" xfId="0" applyFont="1" applyFill="1" applyBorder="1" applyAlignment="1" applyProtection="1">
      <alignment horizontal="center" vertical="center" wrapText="1"/>
    </xf>
    <xf numFmtId="164" fontId="3" fillId="0" borderId="5" xfId="0" applyNumberFormat="1" applyFont="1" applyBorder="1" applyAlignment="1" applyProtection="1">
      <alignment horizontal="center" vertical="center" wrapText="1"/>
    </xf>
    <xf numFmtId="1" fontId="3" fillId="0" borderId="15" xfId="0" applyNumberFormat="1" applyFont="1" applyBorder="1" applyAlignment="1" applyProtection="1">
      <alignment horizontal="center" vertical="center" wrapText="1"/>
    </xf>
    <xf numFmtId="165" fontId="3" fillId="0" borderId="5" xfId="0" applyNumberFormat="1" applyFont="1" applyBorder="1" applyAlignment="1" applyProtection="1">
      <alignment horizontal="center" vertical="center" wrapText="1"/>
    </xf>
    <xf numFmtId="165" fontId="3" fillId="0" borderId="31" xfId="0" applyNumberFormat="1" applyFont="1" applyBorder="1" applyAlignment="1" applyProtection="1">
      <alignment horizontal="center" vertical="center" wrapText="1"/>
    </xf>
    <xf numFmtId="165" fontId="3" fillId="0" borderId="1" xfId="0" applyNumberFormat="1" applyFont="1" applyFill="1" applyBorder="1" applyAlignment="1" applyProtection="1">
      <alignment horizontal="center" vertical="center" wrapText="1"/>
    </xf>
    <xf numFmtId="0" fontId="3" fillId="9" borderId="16" xfId="0" applyFont="1" applyFill="1" applyBorder="1" applyAlignment="1" applyProtection="1">
      <alignment horizontal="center" vertical="center" wrapText="1"/>
    </xf>
    <xf numFmtId="0" fontId="3" fillId="11" borderId="16" xfId="0" applyFont="1" applyFill="1" applyBorder="1" applyAlignment="1" applyProtection="1">
      <alignment horizontal="center" vertical="center" wrapText="1"/>
    </xf>
    <xf numFmtId="0" fontId="3" fillId="8" borderId="10" xfId="0" applyFont="1" applyFill="1" applyBorder="1" applyAlignment="1" applyProtection="1">
      <alignment horizontal="center" vertical="center" wrapText="1"/>
    </xf>
    <xf numFmtId="0" fontId="3" fillId="0" borderId="0" xfId="0" applyFont="1" applyAlignment="1" applyProtection="1">
      <alignment horizontal="center" vertical="top" wrapText="1"/>
    </xf>
    <xf numFmtId="1" fontId="3" fillId="0" borderId="11" xfId="0" applyNumberFormat="1" applyFont="1" applyBorder="1" applyAlignment="1" applyProtection="1">
      <alignment horizontal="center" vertical="center" wrapText="1"/>
    </xf>
    <xf numFmtId="1" fontId="3" fillId="0" borderId="5" xfId="0" applyNumberFormat="1" applyFont="1" applyBorder="1" applyAlignment="1" applyProtection="1">
      <alignment horizontal="center" vertical="center" wrapText="1"/>
    </xf>
    <xf numFmtId="1" fontId="3" fillId="0" borderId="13" xfId="0" applyNumberFormat="1" applyFont="1" applyBorder="1" applyAlignment="1" applyProtection="1">
      <alignment horizontal="center" vertical="center" wrapText="1"/>
    </xf>
    <xf numFmtId="3" fontId="3" fillId="0" borderId="5" xfId="0" applyNumberFormat="1" applyFont="1" applyBorder="1" applyAlignment="1" applyProtection="1">
      <alignment horizontal="center" vertical="center" wrapText="1"/>
    </xf>
    <xf numFmtId="0" fontId="3" fillId="0" borderId="0" xfId="0" applyFont="1" applyAlignment="1" applyProtection="1">
      <alignment horizontal="center" vertical="center" wrapText="1"/>
    </xf>
    <xf numFmtId="4" fontId="3" fillId="0" borderId="5" xfId="0" applyNumberFormat="1" applyFont="1" applyBorder="1" applyAlignment="1" applyProtection="1">
      <alignment horizontal="center" vertical="center" wrapText="1"/>
    </xf>
    <xf numFmtId="0" fontId="16" fillId="0" borderId="0" xfId="0" applyFont="1" applyAlignment="1" applyProtection="1">
      <alignment vertical="top" wrapText="1"/>
    </xf>
    <xf numFmtId="0" fontId="3" fillId="0" borderId="20" xfId="0" applyFont="1" applyBorder="1" applyAlignment="1" applyProtection="1">
      <alignment horizontal="center" vertical="center" wrapText="1"/>
      <protection locked="0"/>
    </xf>
    <xf numFmtId="9" fontId="3" fillId="0" borderId="29" xfId="0" applyNumberFormat="1" applyFont="1" applyBorder="1" applyAlignment="1" applyProtection="1">
      <alignment horizontal="center" vertical="center" wrapText="1"/>
      <protection locked="0"/>
    </xf>
    <xf numFmtId="9" fontId="3" fillId="0" borderId="28" xfId="0" applyNumberFormat="1" applyFont="1" applyBorder="1" applyAlignment="1" applyProtection="1">
      <alignment horizontal="center" vertical="center" wrapText="1"/>
      <protection locked="0"/>
    </xf>
    <xf numFmtId="6" fontId="3" fillId="0" borderId="28" xfId="0" applyNumberFormat="1" applyFont="1" applyBorder="1" applyAlignment="1" applyProtection="1">
      <alignment horizontal="center" vertical="center" wrapText="1"/>
      <protection locked="0"/>
    </xf>
    <xf numFmtId="3" fontId="3" fillId="0" borderId="28" xfId="0" applyNumberFormat="1"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xf>
    <xf numFmtId="6" fontId="8" fillId="0" borderId="0" xfId="0" applyNumberFormat="1" applyFont="1" applyAlignment="1" applyProtection="1">
      <alignment horizontal="center" vertical="center" wrapText="1"/>
    </xf>
    <xf numFmtId="0" fontId="3" fillId="12" borderId="16" xfId="0" applyFont="1" applyFill="1" applyBorder="1" applyAlignment="1" applyProtection="1">
      <alignment horizontal="center" vertical="center" wrapText="1"/>
    </xf>
    <xf numFmtId="1" fontId="8" fillId="0" borderId="1" xfId="0" applyNumberFormat="1" applyFont="1" applyBorder="1" applyAlignment="1" applyProtection="1">
      <alignment horizontal="center" vertical="center" wrapText="1"/>
    </xf>
    <xf numFmtId="6" fontId="6" fillId="0" borderId="0" xfId="0" applyNumberFormat="1" applyFont="1" applyAlignment="1" applyProtection="1">
      <alignment horizontal="center" vertical="center" wrapText="1"/>
    </xf>
    <xf numFmtId="6" fontId="3" fillId="0" borderId="0" xfId="0" applyNumberFormat="1" applyFont="1" applyAlignment="1" applyProtection="1">
      <alignment horizontal="center" vertical="center" wrapText="1"/>
    </xf>
    <xf numFmtId="0" fontId="3" fillId="0" borderId="12" xfId="0" applyFont="1" applyBorder="1" applyAlignment="1" applyProtection="1">
      <alignment horizontal="center" vertical="center" wrapText="1"/>
    </xf>
    <xf numFmtId="0" fontId="19" fillId="12" borderId="8" xfId="0" applyFont="1" applyFill="1" applyBorder="1" applyAlignment="1" applyProtection="1">
      <alignment horizontal="center" vertical="center" wrapText="1"/>
    </xf>
    <xf numFmtId="0" fontId="3" fillId="5" borderId="16" xfId="0" applyFont="1" applyFill="1" applyBorder="1" applyAlignment="1" applyProtection="1">
      <alignment horizontal="center" vertical="center" wrapText="1"/>
    </xf>
    <xf numFmtId="0" fontId="3" fillId="0" borderId="15" xfId="0" applyFont="1" applyBorder="1" applyAlignment="1" applyProtection="1">
      <alignment horizontal="center" vertical="center" wrapText="1"/>
    </xf>
    <xf numFmtId="0" fontId="3" fillId="0" borderId="14" xfId="0" applyFont="1" applyBorder="1" applyAlignment="1" applyProtection="1">
      <alignment horizontal="center" vertical="center" wrapText="1"/>
    </xf>
    <xf numFmtId="0" fontId="3" fillId="0" borderId="15" xfId="0" applyNumberFormat="1" applyFont="1" applyBorder="1" applyAlignment="1" applyProtection="1">
      <alignment horizontal="center" vertical="center" wrapText="1"/>
    </xf>
    <xf numFmtId="0" fontId="3" fillId="12" borderId="15" xfId="0" applyFont="1" applyFill="1" applyBorder="1" applyAlignment="1" applyProtection="1">
      <alignment horizontal="center" vertical="center" wrapText="1"/>
    </xf>
    <xf numFmtId="0" fontId="3" fillId="12" borderId="1" xfId="0" applyFont="1" applyFill="1" applyBorder="1" applyAlignment="1" applyProtection="1">
      <alignment horizontal="center" vertical="center" wrapText="1"/>
    </xf>
    <xf numFmtId="0" fontId="3" fillId="12" borderId="17" xfId="0" applyFont="1" applyFill="1" applyBorder="1" applyAlignment="1" applyProtection="1">
      <alignment horizontal="center" vertical="center" wrapText="1"/>
    </xf>
    <xf numFmtId="0" fontId="3" fillId="12" borderId="19" xfId="0" applyFont="1" applyFill="1" applyBorder="1" applyAlignment="1" applyProtection="1">
      <alignment horizontal="center" vertical="center" wrapText="1"/>
    </xf>
    <xf numFmtId="0" fontId="3" fillId="0" borderId="11" xfId="0" applyFont="1" applyBorder="1" applyAlignment="1" applyProtection="1">
      <alignment horizontal="center" vertical="center" wrapText="1"/>
    </xf>
    <xf numFmtId="6" fontId="3" fillId="0" borderId="5" xfId="0" applyNumberFormat="1" applyFont="1" applyBorder="1" applyAlignment="1" applyProtection="1">
      <alignment horizontal="center" vertical="center" wrapText="1"/>
    </xf>
    <xf numFmtId="164" fontId="3" fillId="0" borderId="7" xfId="0" applyNumberFormat="1" applyFont="1" applyBorder="1" applyAlignment="1" applyProtection="1">
      <alignment horizontal="center" vertical="center" wrapText="1"/>
    </xf>
    <xf numFmtId="8" fontId="3" fillId="0" borderId="6" xfId="0" applyNumberFormat="1" applyFont="1" applyBorder="1" applyAlignment="1" applyProtection="1">
      <alignment horizontal="center" vertical="center" wrapText="1"/>
    </xf>
    <xf numFmtId="8" fontId="3" fillId="0" borderId="11" xfId="0" applyNumberFormat="1" applyFont="1" applyBorder="1" applyAlignment="1" applyProtection="1">
      <alignment horizontal="center" vertical="center" wrapText="1"/>
    </xf>
    <xf numFmtId="8" fontId="3" fillId="0" borderId="18" xfId="0" applyNumberFormat="1" applyFont="1" applyBorder="1" applyAlignment="1" applyProtection="1">
      <alignment horizontal="center" vertical="center" wrapText="1"/>
    </xf>
    <xf numFmtId="9" fontId="3" fillId="0" borderId="13" xfId="0" applyNumberFormat="1" applyFont="1" applyBorder="1" applyAlignment="1" applyProtection="1">
      <alignment horizontal="center" vertical="center" wrapText="1"/>
    </xf>
    <xf numFmtId="0" fontId="6" fillId="0" borderId="0" xfId="0" applyFont="1" applyAlignment="1" applyProtection="1">
      <alignment horizontal="center" vertical="center" wrapText="1"/>
    </xf>
    <xf numFmtId="0" fontId="3" fillId="4" borderId="5" xfId="0" applyFont="1" applyFill="1" applyBorder="1" applyAlignment="1" applyProtection="1">
      <alignment horizontal="center" vertical="center" wrapText="1"/>
    </xf>
    <xf numFmtId="0" fontId="3" fillId="13" borderId="14" xfId="0" applyFont="1" applyFill="1" applyBorder="1" applyAlignment="1" applyProtection="1">
      <alignment horizontal="center" vertical="center" wrapText="1"/>
    </xf>
    <xf numFmtId="0" fontId="3" fillId="13" borderId="5" xfId="0" applyFont="1" applyFill="1" applyBorder="1" applyAlignment="1" applyProtection="1">
      <alignment horizontal="center" vertical="center" wrapText="1"/>
    </xf>
    <xf numFmtId="0" fontId="3" fillId="10" borderId="14" xfId="0" applyFont="1" applyFill="1" applyBorder="1" applyAlignment="1" applyProtection="1">
      <alignment horizontal="center" vertical="center" wrapText="1"/>
    </xf>
    <xf numFmtId="0" fontId="3" fillId="10" borderId="5" xfId="0" applyFont="1" applyFill="1" applyBorder="1" applyAlignment="1" applyProtection="1">
      <alignment horizontal="center" vertical="center" wrapText="1"/>
    </xf>
    <xf numFmtId="0" fontId="3" fillId="6" borderId="14" xfId="0" applyFont="1" applyFill="1" applyBorder="1" applyAlignment="1" applyProtection="1">
      <alignment horizontal="center" vertical="center" wrapText="1"/>
    </xf>
    <xf numFmtId="0" fontId="3" fillId="6" borderId="5" xfId="0" applyFont="1" applyFill="1" applyBorder="1" applyAlignment="1" applyProtection="1">
      <alignment horizontal="center" vertical="center" wrapText="1"/>
    </xf>
    <xf numFmtId="0" fontId="3" fillId="11" borderId="14" xfId="0" applyFont="1" applyFill="1" applyBorder="1" applyAlignment="1" applyProtection="1">
      <alignment horizontal="center" vertical="center" wrapText="1"/>
    </xf>
    <xf numFmtId="0" fontId="3" fillId="11" borderId="5" xfId="0" applyFont="1" applyFill="1" applyBorder="1" applyAlignment="1" applyProtection="1">
      <alignment horizontal="center" vertical="center" wrapText="1"/>
    </xf>
    <xf numFmtId="0" fontId="3" fillId="2" borderId="4" xfId="0" applyFont="1" applyFill="1" applyBorder="1" applyAlignment="1" applyProtection="1">
      <alignment horizontal="center" vertical="center" wrapText="1"/>
    </xf>
    <xf numFmtId="0" fontId="3" fillId="2" borderId="2" xfId="0" applyFont="1" applyFill="1" applyBorder="1" applyAlignment="1" applyProtection="1">
      <alignment horizontal="center" vertical="center" wrapText="1"/>
    </xf>
    <xf numFmtId="0" fontId="3" fillId="4" borderId="6" xfId="0" applyFont="1" applyFill="1" applyBorder="1" applyAlignment="1" applyProtection="1">
      <alignment horizontal="center" vertical="center"/>
    </xf>
    <xf numFmtId="6" fontId="3" fillId="13" borderId="16" xfId="0" applyNumberFormat="1" applyFont="1" applyFill="1" applyBorder="1" applyAlignment="1" applyProtection="1">
      <alignment horizontal="center" vertical="center" wrapText="1"/>
    </xf>
    <xf numFmtId="6" fontId="3" fillId="10" borderId="16" xfId="0" applyNumberFormat="1" applyFont="1" applyFill="1" applyBorder="1" applyAlignment="1" applyProtection="1">
      <alignment horizontal="center" vertical="center" wrapText="1"/>
    </xf>
    <xf numFmtId="6" fontId="3" fillId="6" borderId="16" xfId="0" applyNumberFormat="1" applyFont="1" applyFill="1" applyBorder="1" applyAlignment="1" applyProtection="1">
      <alignment horizontal="center" vertical="center" wrapText="1"/>
    </xf>
    <xf numFmtId="6" fontId="3" fillId="11" borderId="7" xfId="0" applyNumberFormat="1" applyFont="1" applyFill="1" applyBorder="1" applyAlignment="1" applyProtection="1">
      <alignment horizontal="center" vertical="center" wrapText="1"/>
    </xf>
    <xf numFmtId="6" fontId="3" fillId="2" borderId="4" xfId="0" applyNumberFormat="1" applyFont="1" applyFill="1" applyBorder="1" applyAlignment="1" applyProtection="1">
      <alignment horizontal="center" vertical="center" wrapText="1"/>
    </xf>
    <xf numFmtId="6" fontId="3" fillId="2" borderId="2" xfId="0" applyNumberFormat="1" applyFont="1" applyFill="1" applyBorder="1" applyAlignment="1" applyProtection="1">
      <alignment horizontal="center" vertical="center" wrapText="1"/>
    </xf>
    <xf numFmtId="0" fontId="3" fillId="4" borderId="6" xfId="0" applyFont="1" applyFill="1" applyBorder="1" applyAlignment="1" applyProtection="1">
      <alignment horizontal="center" vertical="center" wrapText="1"/>
    </xf>
    <xf numFmtId="38" fontId="11" fillId="0" borderId="0" xfId="0" applyNumberFormat="1" applyFont="1" applyAlignment="1" applyProtection="1">
      <alignment horizontal="right" vertical="center" wrapText="1"/>
    </xf>
    <xf numFmtId="38" fontId="11" fillId="0" borderId="0" xfId="0" applyNumberFormat="1" applyFont="1" applyAlignment="1" applyProtection="1">
      <alignment horizontal="left" vertical="center" wrapText="1"/>
    </xf>
    <xf numFmtId="0" fontId="3" fillId="0" borderId="1" xfId="0" applyFont="1" applyBorder="1" applyAlignment="1" applyProtection="1">
      <alignment horizontal="center" vertical="center" wrapText="1"/>
    </xf>
    <xf numFmtId="0" fontId="3" fillId="9" borderId="5" xfId="0" applyFont="1" applyFill="1" applyBorder="1" applyAlignment="1" applyProtection="1">
      <alignment horizontal="center" vertical="center" wrapText="1"/>
    </xf>
    <xf numFmtId="0" fontId="3" fillId="8" borderId="14" xfId="0" applyFont="1" applyFill="1" applyBorder="1" applyAlignment="1" applyProtection="1">
      <alignment horizontal="center" vertical="center" wrapText="1"/>
    </xf>
    <xf numFmtId="0" fontId="3" fillId="8" borderId="5" xfId="0" applyFont="1" applyFill="1" applyBorder="1" applyAlignment="1" applyProtection="1">
      <alignment horizontal="center" vertical="center" wrapText="1"/>
    </xf>
    <xf numFmtId="0" fontId="3" fillId="7" borderId="5" xfId="0" applyFont="1" applyFill="1" applyBorder="1" applyAlignment="1" applyProtection="1">
      <alignment horizontal="center" vertical="center" wrapText="1"/>
    </xf>
    <xf numFmtId="0" fontId="3" fillId="3" borderId="5" xfId="0" applyFont="1" applyFill="1" applyBorder="1" applyAlignment="1" applyProtection="1">
      <alignment horizontal="center" vertical="center" wrapText="1"/>
    </xf>
    <xf numFmtId="0" fontId="3" fillId="4" borderId="5" xfId="0" applyFont="1" applyFill="1" applyBorder="1" applyAlignment="1" applyProtection="1">
      <alignment horizontal="center" vertical="center"/>
    </xf>
    <xf numFmtId="6" fontId="3" fillId="9" borderId="5" xfId="0" applyNumberFormat="1" applyFont="1" applyFill="1" applyBorder="1" applyAlignment="1" applyProtection="1">
      <alignment horizontal="center" vertical="center" wrapText="1"/>
    </xf>
    <xf numFmtId="6" fontId="3" fillId="9" borderId="6" xfId="0" applyNumberFormat="1" applyFont="1" applyFill="1" applyBorder="1" applyAlignment="1" applyProtection="1">
      <alignment horizontal="center" vertical="center" wrapText="1"/>
    </xf>
    <xf numFmtId="6" fontId="3" fillId="8" borderId="7" xfId="0" applyNumberFormat="1" applyFont="1" applyFill="1" applyBorder="1" applyAlignment="1" applyProtection="1">
      <alignment horizontal="center" vertical="center" wrapText="1"/>
    </xf>
    <xf numFmtId="6" fontId="3" fillId="7" borderId="5" xfId="0" applyNumberFormat="1" applyFont="1" applyFill="1" applyBorder="1" applyAlignment="1" applyProtection="1">
      <alignment horizontal="center" vertical="center" wrapText="1"/>
    </xf>
    <xf numFmtId="8" fontId="3" fillId="7" borderId="5" xfId="0" applyNumberFormat="1" applyFont="1" applyFill="1" applyBorder="1" applyAlignment="1" applyProtection="1">
      <alignment horizontal="center" vertical="center" wrapText="1"/>
    </xf>
    <xf numFmtId="8" fontId="3" fillId="3" borderId="5" xfId="0" applyNumberFormat="1" applyFont="1" applyFill="1" applyBorder="1" applyAlignment="1" applyProtection="1">
      <alignment horizontal="center" vertical="center" wrapText="1"/>
    </xf>
    <xf numFmtId="6" fontId="3" fillId="3" borderId="5" xfId="0" applyNumberFormat="1" applyFont="1" applyFill="1" applyBorder="1" applyAlignment="1" applyProtection="1">
      <alignment horizontal="center" vertical="center" wrapText="1"/>
    </xf>
    <xf numFmtId="9" fontId="3" fillId="3" borderId="5" xfId="0" applyNumberFormat="1" applyFont="1" applyFill="1" applyBorder="1" applyAlignment="1" applyProtection="1">
      <alignment horizontal="center" vertical="center" wrapText="1"/>
    </xf>
    <xf numFmtId="164" fontId="3" fillId="2" borderId="20" xfId="0" applyNumberFormat="1" applyFont="1" applyFill="1" applyBorder="1" applyAlignment="1" applyProtection="1">
      <alignment horizontal="center" vertical="center" wrapText="1"/>
      <protection locked="0"/>
    </xf>
    <xf numFmtId="38" fontId="3" fillId="2" borderId="21" xfId="0" applyNumberFormat="1" applyFont="1" applyFill="1" applyBorder="1" applyAlignment="1" applyProtection="1">
      <alignment horizontal="center" vertical="center" wrapText="1"/>
      <protection locked="0"/>
    </xf>
    <xf numFmtId="164" fontId="3" fillId="2" borderId="22" xfId="0" applyNumberFormat="1" applyFont="1" applyFill="1" applyBorder="1" applyAlignment="1" applyProtection="1">
      <alignment horizontal="center" vertical="center" wrapText="1"/>
      <protection locked="0"/>
    </xf>
    <xf numFmtId="38" fontId="3" fillId="2" borderId="23" xfId="0" applyNumberFormat="1" applyFont="1" applyFill="1" applyBorder="1" applyAlignment="1" applyProtection="1">
      <alignment horizontal="center" vertical="center" wrapText="1"/>
      <protection locked="0"/>
    </xf>
    <xf numFmtId="0" fontId="3" fillId="2" borderId="21" xfId="0" applyFont="1" applyFill="1" applyBorder="1" applyAlignment="1" applyProtection="1">
      <alignment horizontal="center" vertical="center" wrapText="1"/>
      <protection locked="0"/>
    </xf>
    <xf numFmtId="164" fontId="3" fillId="2" borderId="24" xfId="0" applyNumberFormat="1" applyFont="1" applyFill="1" applyBorder="1" applyAlignment="1" applyProtection="1">
      <alignment horizontal="center" vertical="center" wrapText="1"/>
      <protection locked="0"/>
    </xf>
    <xf numFmtId="0" fontId="3" fillId="2" borderId="25" xfId="0" applyFont="1" applyFill="1" applyBorder="1" applyAlignment="1" applyProtection="1">
      <alignment horizontal="center" vertical="center" wrapText="1"/>
      <protection locked="0"/>
    </xf>
    <xf numFmtId="164" fontId="3" fillId="2" borderId="27" xfId="0" applyNumberFormat="1" applyFont="1" applyFill="1" applyBorder="1" applyAlignment="1" applyProtection="1">
      <alignment horizontal="center" vertical="center" wrapText="1"/>
      <protection locked="0"/>
    </xf>
    <xf numFmtId="38" fontId="3" fillId="2" borderId="26" xfId="0" applyNumberFormat="1" applyFont="1" applyFill="1" applyBorder="1" applyAlignment="1" applyProtection="1">
      <alignment horizontal="center" vertical="center" wrapText="1"/>
      <protection locked="0"/>
    </xf>
    <xf numFmtId="38" fontId="3" fillId="2" borderId="25" xfId="0" applyNumberFormat="1" applyFont="1" applyFill="1" applyBorder="1" applyAlignment="1" applyProtection="1">
      <alignment horizontal="center" vertical="center" wrapText="1"/>
      <protection locked="0"/>
    </xf>
    <xf numFmtId="9" fontId="3" fillId="2" borderId="20" xfId="0" applyNumberFormat="1" applyFont="1" applyFill="1" applyBorder="1" applyAlignment="1" applyProtection="1">
      <alignment horizontal="center" vertical="center" wrapText="1"/>
      <protection locked="0"/>
    </xf>
    <xf numFmtId="1" fontId="3" fillId="0" borderId="11" xfId="0" applyNumberFormat="1" applyFont="1" applyFill="1" applyBorder="1" applyAlignment="1" applyProtection="1">
      <alignment horizontal="center" vertical="center" wrapText="1"/>
    </xf>
    <xf numFmtId="1" fontId="11" fillId="0" borderId="0" xfId="0" applyNumberFormat="1" applyFont="1" applyAlignment="1" applyProtection="1">
      <alignment horizontal="right" vertical="center" wrapText="1"/>
    </xf>
    <xf numFmtId="0" fontId="10" fillId="0" borderId="1" xfId="0" applyFont="1" applyBorder="1" applyAlignment="1" applyProtection="1">
      <alignment horizontal="center" vertical="center" textRotation="90" wrapText="1"/>
    </xf>
    <xf numFmtId="0" fontId="11" fillId="2" borderId="28" xfId="0" applyFont="1" applyFill="1" applyBorder="1" applyAlignment="1" applyProtection="1">
      <alignment horizontal="center" vertical="center" wrapText="1"/>
    </xf>
    <xf numFmtId="0" fontId="11" fillId="2" borderId="29" xfId="0" applyFont="1" applyFill="1" applyBorder="1" applyAlignment="1" applyProtection="1">
      <alignment horizontal="center" vertical="center" wrapText="1"/>
    </xf>
    <xf numFmtId="0" fontId="11" fillId="2" borderId="21" xfId="0" applyFont="1" applyFill="1" applyBorder="1" applyAlignment="1" applyProtection="1">
      <alignment horizontal="center" vertical="center" wrapText="1"/>
    </xf>
    <xf numFmtId="0" fontId="5" fillId="0" borderId="12" xfId="0" applyFont="1" applyBorder="1" applyAlignment="1" applyProtection="1">
      <alignment horizontal="center" vertical="center" wrapText="1"/>
    </xf>
    <xf numFmtId="0" fontId="10" fillId="0" borderId="12" xfId="0" applyFont="1" applyBorder="1" applyAlignment="1" applyProtection="1">
      <alignment horizontal="center" vertical="center" wrapText="1"/>
    </xf>
    <xf numFmtId="0" fontId="3" fillId="12" borderId="6" xfId="0" applyFont="1" applyFill="1" applyBorder="1" applyAlignment="1" applyProtection="1">
      <alignment horizontal="center" vertical="center" wrapText="1"/>
    </xf>
    <xf numFmtId="0" fontId="3" fillId="12" borderId="16" xfId="0" applyFont="1" applyFill="1" applyBorder="1" applyAlignment="1" applyProtection="1">
      <alignment horizontal="center" vertical="center" wrapText="1"/>
    </xf>
    <xf numFmtId="0" fontId="3" fillId="2" borderId="20" xfId="0" applyFont="1" applyFill="1" applyBorder="1" applyAlignment="1" applyProtection="1">
      <alignment horizontal="center" vertical="center" wrapText="1"/>
      <protection locked="0"/>
    </xf>
    <xf numFmtId="0" fontId="10" fillId="9" borderId="5" xfId="0" applyFont="1" applyFill="1" applyBorder="1" applyAlignment="1" applyProtection="1">
      <alignment horizontal="center" vertical="center" wrapText="1"/>
    </xf>
    <xf numFmtId="0" fontId="10" fillId="8" borderId="5" xfId="0" applyFont="1" applyFill="1" applyBorder="1" applyAlignment="1" applyProtection="1">
      <alignment horizontal="center" vertical="center" wrapText="1"/>
    </xf>
    <xf numFmtId="0" fontId="10" fillId="7" borderId="5" xfId="0" applyFont="1" applyFill="1" applyBorder="1" applyAlignment="1" applyProtection="1">
      <alignment horizontal="center" vertical="center" wrapText="1"/>
    </xf>
    <xf numFmtId="0" fontId="10" fillId="3" borderId="5" xfId="0" applyFont="1" applyFill="1" applyBorder="1" applyAlignment="1" applyProtection="1">
      <alignment horizontal="center" vertical="center" wrapText="1"/>
    </xf>
    <xf numFmtId="0" fontId="10" fillId="6" borderId="5" xfId="0" applyFont="1" applyFill="1" applyBorder="1" applyAlignment="1" applyProtection="1">
      <alignment horizontal="center" vertical="center" wrapText="1"/>
    </xf>
    <xf numFmtId="0" fontId="10" fillId="11" borderId="5" xfId="0" applyFont="1" applyFill="1" applyBorder="1" applyAlignment="1" applyProtection="1">
      <alignment horizontal="center" vertical="center" wrapText="1"/>
    </xf>
    <xf numFmtId="0" fontId="10" fillId="13" borderId="5" xfId="0" applyFont="1" applyFill="1" applyBorder="1" applyAlignment="1" applyProtection="1">
      <alignment horizontal="center" vertical="center" wrapText="1"/>
    </xf>
    <xf numFmtId="0" fontId="10" fillId="10" borderId="5" xfId="0" applyFont="1" applyFill="1" applyBorder="1" applyAlignment="1" applyProtection="1">
      <alignment horizontal="center" vertical="center" wrapText="1"/>
    </xf>
    <xf numFmtId="0" fontId="16" fillId="0" borderId="0" xfId="0" applyFont="1" applyAlignment="1" applyProtection="1">
      <alignment horizontal="center" vertical="top" wrapText="1"/>
    </xf>
    <xf numFmtId="0" fontId="15" fillId="2" borderId="0" xfId="0" applyFont="1" applyFill="1" applyAlignment="1" applyProtection="1">
      <alignment horizontal="center" vertical="center" wrapText="1"/>
    </xf>
    <xf numFmtId="0" fontId="17" fillId="2" borderId="0" xfId="0" applyFont="1" applyFill="1" applyAlignment="1" applyProtection="1">
      <alignment horizontal="center" wrapText="1"/>
    </xf>
    <xf numFmtId="0" fontId="3" fillId="0" borderId="0" xfId="0" applyFont="1" applyAlignment="1" applyProtection="1">
      <alignment horizontal="center" vertical="center" wrapText="1"/>
    </xf>
    <xf numFmtId="0" fontId="3" fillId="4" borderId="6" xfId="0" applyFont="1" applyFill="1" applyBorder="1" applyAlignment="1" applyProtection="1">
      <alignment horizontal="center" vertical="center" wrapText="1"/>
    </xf>
    <xf numFmtId="0" fontId="3" fillId="4" borderId="16" xfId="0" applyFont="1" applyFill="1" applyBorder="1" applyAlignment="1" applyProtection="1">
      <alignment horizontal="center" vertical="center" wrapText="1"/>
    </xf>
    <xf numFmtId="0" fontId="3" fillId="4" borderId="7" xfId="0" applyFont="1" applyFill="1" applyBorder="1" applyAlignment="1" applyProtection="1">
      <alignment horizontal="center" vertical="center" wrapText="1"/>
    </xf>
    <xf numFmtId="0" fontId="3" fillId="4" borderId="8" xfId="0" applyFont="1" applyFill="1" applyBorder="1" applyAlignment="1" applyProtection="1">
      <alignment horizontal="center" vertical="center" wrapText="1"/>
    </xf>
    <xf numFmtId="0" fontId="3" fillId="4" borderId="9" xfId="0" applyFont="1" applyFill="1" applyBorder="1" applyAlignment="1" applyProtection="1">
      <alignment horizontal="center" vertical="center" wrapText="1"/>
    </xf>
    <xf numFmtId="0" fontId="3" fillId="4" borderId="10" xfId="0" applyFont="1" applyFill="1" applyBorder="1" applyAlignment="1" applyProtection="1">
      <alignment horizontal="center" vertical="center" wrapText="1"/>
    </xf>
    <xf numFmtId="0" fontId="9" fillId="2" borderId="0" xfId="0" applyFont="1" applyFill="1" applyAlignment="1" applyProtection="1">
      <alignment horizontal="center" vertical="center" wrapText="1"/>
    </xf>
    <xf numFmtId="0" fontId="3" fillId="2" borderId="3" xfId="0" applyFont="1" applyFill="1" applyBorder="1" applyAlignment="1" applyProtection="1">
      <alignment horizontal="center" vertical="center" wrapText="1"/>
    </xf>
    <xf numFmtId="0" fontId="9" fillId="0" borderId="12" xfId="0" applyFont="1" applyBorder="1" applyAlignment="1" applyProtection="1">
      <alignment horizontal="left" wrapText="1"/>
    </xf>
    <xf numFmtId="0" fontId="9" fillId="0" borderId="1" xfId="0" applyFont="1" applyBorder="1" applyAlignment="1" applyProtection="1">
      <alignment horizontal="left" wrapText="1"/>
    </xf>
    <xf numFmtId="0" fontId="18" fillId="0" borderId="0" xfId="0" applyFont="1" applyAlignment="1" applyProtection="1">
      <alignment horizontal="center" vertical="top" wrapText="1"/>
    </xf>
    <xf numFmtId="0" fontId="15" fillId="2" borderId="1" xfId="0" applyFont="1" applyFill="1" applyBorder="1" applyAlignment="1" applyProtection="1">
      <alignment horizontal="center" vertical="top" wrapText="1"/>
    </xf>
  </cellXfs>
  <cellStyles count="1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Normal" xfId="0" builtinId="0"/>
  </cellStyles>
  <dxfs count="2">
    <dxf>
      <fill>
        <patternFill>
          <bgColor theme="1"/>
        </patternFill>
      </fill>
    </dxf>
    <dxf>
      <fill>
        <patternFill>
          <bgColor theme="1"/>
        </patternFill>
      </fill>
    </dxf>
  </dxfs>
  <tableStyles count="0" defaultPivotStyle="PivotStyleMedium4"/>
  <colors>
    <indexedColors>
      <rgbColor rgb="FF000000"/>
      <rgbColor rgb="FFFFFFFF"/>
      <rgbColor rgb="FFFF0000"/>
      <rgbColor rgb="FF00FF00"/>
      <rgbColor rgb="FF0000FF"/>
      <rgbColor rgb="FFFFFF00"/>
      <rgbColor rgb="FFFF00FF"/>
      <rgbColor rgb="FF00FFFF"/>
      <rgbColor rgb="FF000000"/>
      <rgbColor rgb="FFAAAAAA"/>
      <rgbColor rgb="FFFFFF00"/>
      <rgbColor rgb="FFFFCC00"/>
      <rgbColor rgb="FFFFFFFF"/>
      <rgbColor rgb="FFC0C0C0"/>
      <rgbColor rgb="FFFF8080"/>
      <rgbColor rgb="FF008080"/>
      <rgbColor rgb="FF90713A"/>
      <rgbColor rgb="FF00ABEA"/>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8E5AA"/>
      <color rgb="FFF9EAB9"/>
      <color rgb="FFCFF0A6"/>
      <color rgb="FFD6BBEB"/>
      <color rgb="FFFFB7B7"/>
      <color rgb="FF006600"/>
      <color rgb="FF0070C0"/>
      <color rgb="FF81B95B"/>
      <color rgb="FF70AA48"/>
      <color rgb="FFA8CF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0"/>
  <sheetViews>
    <sheetView showGridLines="0" tabSelected="1" topLeftCell="A4" zoomScaleNormal="100" workbookViewId="0">
      <selection activeCell="C14" sqref="C14"/>
    </sheetView>
  </sheetViews>
  <sheetFormatPr defaultColWidth="9.06640625" defaultRowHeight="14.5" x14ac:dyDescent="0.3"/>
  <cols>
    <col min="1" max="1" width="2.6640625" style="49" customWidth="1"/>
    <col min="2" max="14" width="9.3984375" style="49" customWidth="1"/>
    <col min="15" max="16384" width="9.06640625" style="49"/>
  </cols>
  <sheetData>
    <row r="1" spans="1:17" s="1" customFormat="1" ht="34.5" customHeight="1" thickBot="1" x14ac:dyDescent="0.4">
      <c r="B1" s="157" t="s">
        <v>67</v>
      </c>
      <c r="C1" s="157"/>
      <c r="D1" s="157"/>
      <c r="E1" s="8"/>
      <c r="F1" s="148" t="s">
        <v>37</v>
      </c>
      <c r="G1" s="148"/>
      <c r="H1" s="148"/>
      <c r="I1" s="13"/>
      <c r="J1" s="149"/>
      <c r="K1" s="13"/>
      <c r="L1" s="149"/>
      <c r="M1" s="57"/>
      <c r="N1" s="2"/>
      <c r="O1" s="57"/>
    </row>
    <row r="2" spans="1:17" s="1" customFormat="1" ht="15" customHeight="1" thickTop="1" thickBot="1" x14ac:dyDescent="0.35">
      <c r="B2" s="131" t="s">
        <v>35</v>
      </c>
      <c r="C2" s="132"/>
      <c r="D2" s="133"/>
      <c r="E2" s="3"/>
      <c r="F2" s="3"/>
      <c r="G2" s="4"/>
      <c r="H2" s="4"/>
      <c r="I2" s="3"/>
      <c r="J2" s="149"/>
      <c r="K2" s="4"/>
      <c r="L2" s="149"/>
      <c r="M2" s="4"/>
      <c r="N2" s="4"/>
      <c r="O2" s="7"/>
    </row>
    <row r="3" spans="1:17" s="1" customFormat="1" ht="15" customHeight="1" thickTop="1" x14ac:dyDescent="0.3">
      <c r="B3" s="9"/>
      <c r="C3" s="10"/>
      <c r="D3" s="10"/>
      <c r="E3" s="10"/>
      <c r="F3" s="6"/>
      <c r="I3" s="6"/>
      <c r="L3" s="6"/>
      <c r="O3" s="5"/>
    </row>
    <row r="4" spans="1:17" ht="15" thickBot="1" x14ac:dyDescent="0.35">
      <c r="B4" s="58">
        <v>15</v>
      </c>
      <c r="C4" s="58">
        <v>20</v>
      </c>
      <c r="D4" s="58">
        <v>30</v>
      </c>
      <c r="E4" s="58">
        <v>40</v>
      </c>
      <c r="F4" s="58">
        <v>60</v>
      </c>
    </row>
    <row r="5" spans="1:17" ht="29.5" customHeight="1" thickTop="1" thickBot="1" x14ac:dyDescent="0.35">
      <c r="B5" s="136" t="s">
        <v>45</v>
      </c>
      <c r="C5" s="137"/>
      <c r="D5" s="138">
        <v>0</v>
      </c>
      <c r="E5" s="138"/>
      <c r="F5" s="60">
        <f>D5/75</f>
        <v>0</v>
      </c>
      <c r="G5" s="61"/>
      <c r="H5" s="61"/>
      <c r="I5" s="61"/>
      <c r="J5" s="61"/>
      <c r="K5" s="62"/>
    </row>
    <row r="6" spans="1:17" ht="15.5" thickTop="1" thickBot="1" x14ac:dyDescent="0.35">
      <c r="D6" s="63"/>
      <c r="E6" s="63"/>
    </row>
    <row r="7" spans="1:17" ht="29.5" customHeight="1" thickTop="1" thickBot="1" x14ac:dyDescent="0.35">
      <c r="B7" s="64" t="s">
        <v>60</v>
      </c>
      <c r="C7" s="65" t="s">
        <v>73</v>
      </c>
      <c r="D7" s="30" t="s">
        <v>3</v>
      </c>
      <c r="E7" s="32" t="s">
        <v>68</v>
      </c>
      <c r="G7" s="151" t="s">
        <v>28</v>
      </c>
      <c r="H7" s="152"/>
      <c r="I7" s="153"/>
      <c r="K7" s="154" t="s">
        <v>29</v>
      </c>
      <c r="L7" s="155"/>
      <c r="M7" s="156"/>
    </row>
    <row r="8" spans="1:17" ht="26.5" customHeight="1" thickTop="1" thickBot="1" x14ac:dyDescent="0.35">
      <c r="B8" s="66" t="s">
        <v>23</v>
      </c>
      <c r="C8" s="67">
        <v>1</v>
      </c>
      <c r="D8" s="68">
        <v>4</v>
      </c>
      <c r="E8" s="46" t="str">
        <f>IF(F5&lt;8,"0",IF(F5&gt;=8,F5))</f>
        <v>0</v>
      </c>
      <c r="G8" s="69" t="s">
        <v>21</v>
      </c>
      <c r="H8" s="70" t="s">
        <v>25</v>
      </c>
      <c r="I8" s="69" t="s">
        <v>36</v>
      </c>
      <c r="K8" s="71" t="s">
        <v>21</v>
      </c>
      <c r="L8" s="71" t="s">
        <v>25</v>
      </c>
      <c r="M8" s="72" t="s">
        <v>26</v>
      </c>
    </row>
    <row r="9" spans="1:17" ht="26.5" customHeight="1" thickTop="1" thickBot="1" x14ac:dyDescent="0.35">
      <c r="B9" s="73" t="s">
        <v>24</v>
      </c>
      <c r="C9" s="74">
        <v>60</v>
      </c>
      <c r="D9" s="36">
        <f>IF(D5&lt;=599, D4, IF(AND(D5&gt;=600,D5&lt;=899), E4, IF(D5&gt;=900,D4)))</f>
        <v>30</v>
      </c>
      <c r="E9" s="75" t="str">
        <f>IF(D5&lt;=599, "0", IF(AND(D5&gt;=600,D5&lt;=899), C4, IF(D5&gt;=900,B4)))</f>
        <v>0</v>
      </c>
      <c r="G9" s="76">
        <f>SUM(L23:L27)</f>
        <v>0</v>
      </c>
      <c r="H9" s="74">
        <f>SUM(M23:M27)</f>
        <v>0</v>
      </c>
      <c r="I9" s="47">
        <f>F19+I19+L19</f>
        <v>0</v>
      </c>
      <c r="K9" s="77">
        <f>G9*12</f>
        <v>0</v>
      </c>
      <c r="L9" s="78">
        <f>H9*12</f>
        <v>0</v>
      </c>
      <c r="M9" s="79" t="e">
        <f>(K9-L9)/K9</f>
        <v>#DIV/0!</v>
      </c>
    </row>
    <row r="10" spans="1:17" ht="15" thickTop="1" x14ac:dyDescent="0.3">
      <c r="B10" s="80"/>
      <c r="C10" s="80"/>
      <c r="D10" s="80"/>
      <c r="E10" s="80"/>
      <c r="F10" s="80"/>
      <c r="G10" s="80"/>
    </row>
    <row r="11" spans="1:17" ht="19.5" customHeight="1" thickBot="1" x14ac:dyDescent="0.35">
      <c r="B11" s="80"/>
      <c r="C11" s="134" t="s">
        <v>33</v>
      </c>
      <c r="D11" s="134"/>
      <c r="E11" s="134"/>
      <c r="F11" s="134"/>
      <c r="G11" s="134"/>
      <c r="H11" s="134"/>
      <c r="I11" s="134"/>
      <c r="J11" s="134"/>
      <c r="K11" s="134"/>
      <c r="L11" s="134"/>
      <c r="M11" s="134"/>
      <c r="N11" s="134"/>
    </row>
    <row r="12" spans="1:17" ht="24" customHeight="1" thickTop="1" thickBot="1" x14ac:dyDescent="0.35">
      <c r="A12" s="130" t="s">
        <v>31</v>
      </c>
      <c r="B12" s="81"/>
      <c r="C12" s="145" t="s">
        <v>16</v>
      </c>
      <c r="D12" s="145"/>
      <c r="E12" s="145"/>
      <c r="F12" s="146" t="s">
        <v>73</v>
      </c>
      <c r="G12" s="146"/>
      <c r="H12" s="146"/>
      <c r="I12" s="143" t="s">
        <v>3</v>
      </c>
      <c r="J12" s="143"/>
      <c r="K12" s="143"/>
      <c r="L12" s="144" t="s">
        <v>68</v>
      </c>
      <c r="M12" s="144"/>
      <c r="N12" s="144"/>
      <c r="O12" s="158"/>
      <c r="P12" s="158"/>
      <c r="Q12" s="158"/>
    </row>
    <row r="13" spans="1:17" ht="48.65" customHeight="1" thickTop="1" thickBot="1" x14ac:dyDescent="0.35">
      <c r="A13" s="130"/>
      <c r="B13" s="81"/>
      <c r="C13" s="82" t="s">
        <v>4</v>
      </c>
      <c r="D13" s="82" t="s">
        <v>32</v>
      </c>
      <c r="E13" s="83" t="s">
        <v>15</v>
      </c>
      <c r="F13" s="84" t="s">
        <v>74</v>
      </c>
      <c r="G13" s="84" t="s">
        <v>75</v>
      </c>
      <c r="H13" s="85" t="s">
        <v>76</v>
      </c>
      <c r="I13" s="86" t="s">
        <v>46</v>
      </c>
      <c r="J13" s="86" t="s">
        <v>30</v>
      </c>
      <c r="K13" s="87" t="s">
        <v>14</v>
      </c>
      <c r="L13" s="88" t="s">
        <v>71</v>
      </c>
      <c r="M13" s="88" t="s">
        <v>69</v>
      </c>
      <c r="N13" s="89" t="s">
        <v>70</v>
      </c>
      <c r="O13" s="90"/>
      <c r="P13" s="91"/>
      <c r="Q13" s="91"/>
    </row>
    <row r="14" spans="1:17" ht="26.5" customHeight="1" thickTop="1" thickBot="1" x14ac:dyDescent="0.35">
      <c r="A14" s="130"/>
      <c r="B14" s="92" t="s">
        <v>0</v>
      </c>
      <c r="C14" s="117"/>
      <c r="D14" s="118"/>
      <c r="E14" s="93">
        <f>D14*C14</f>
        <v>0</v>
      </c>
      <c r="F14" s="124"/>
      <c r="G14" s="125"/>
      <c r="H14" s="94">
        <f>F14*G14</f>
        <v>0</v>
      </c>
      <c r="I14" s="124"/>
      <c r="J14" s="125"/>
      <c r="K14" s="95">
        <f>I14*J14</f>
        <v>0</v>
      </c>
      <c r="L14" s="117"/>
      <c r="M14" s="118"/>
      <c r="N14" s="96">
        <f>L14*M14</f>
        <v>0</v>
      </c>
      <c r="O14" s="97"/>
      <c r="P14" s="98"/>
      <c r="Q14" s="98"/>
    </row>
    <row r="15" spans="1:17" ht="26.5" customHeight="1" thickTop="1" thickBot="1" x14ac:dyDescent="0.35">
      <c r="A15" s="130"/>
      <c r="B15" s="99" t="s">
        <v>5</v>
      </c>
      <c r="C15" s="119"/>
      <c r="D15" s="120"/>
      <c r="E15" s="93">
        <f>D15*C15</f>
        <v>0</v>
      </c>
      <c r="F15" s="117"/>
      <c r="G15" s="118"/>
      <c r="H15" s="94">
        <f>F15*G15</f>
        <v>0</v>
      </c>
      <c r="I15" s="117"/>
      <c r="J15" s="118"/>
      <c r="K15" s="95">
        <f>I15*J15</f>
        <v>0</v>
      </c>
      <c r="L15" s="122"/>
      <c r="M15" s="126"/>
      <c r="N15" s="96">
        <f>L15*M15</f>
        <v>0</v>
      </c>
      <c r="O15" s="90"/>
      <c r="P15" s="91"/>
      <c r="Q15" s="91"/>
    </row>
    <row r="16" spans="1:17" ht="26.5" customHeight="1" thickTop="1" thickBot="1" x14ac:dyDescent="0.35">
      <c r="A16" s="130"/>
      <c r="B16" s="99" t="s">
        <v>6</v>
      </c>
      <c r="C16" s="117"/>
      <c r="D16" s="121"/>
      <c r="E16" s="93">
        <f>D16*C16</f>
        <v>0</v>
      </c>
      <c r="F16" s="119"/>
      <c r="G16" s="118"/>
      <c r="H16" s="94">
        <f>F16*G16</f>
        <v>0</v>
      </c>
      <c r="I16" s="119"/>
      <c r="J16" s="118"/>
      <c r="K16" s="95">
        <f>I16*J16</f>
        <v>0</v>
      </c>
      <c r="L16" s="117"/>
      <c r="M16" s="126"/>
      <c r="N16" s="96">
        <f>L16*M16</f>
        <v>0</v>
      </c>
      <c r="O16" s="90"/>
      <c r="P16" s="91"/>
      <c r="Q16" s="91"/>
    </row>
    <row r="17" spans="1:17" ht="26.5" customHeight="1" thickTop="1" thickBot="1" x14ac:dyDescent="0.35">
      <c r="A17" s="130"/>
      <c r="B17" s="99" t="s">
        <v>7</v>
      </c>
      <c r="C17" s="117"/>
      <c r="D17" s="121"/>
      <c r="E17" s="93">
        <f>D17*C17</f>
        <v>0</v>
      </c>
      <c r="F17" s="117"/>
      <c r="G17" s="118"/>
      <c r="H17" s="94">
        <f>F17*G17</f>
        <v>0</v>
      </c>
      <c r="I17" s="117"/>
      <c r="J17" s="118"/>
      <c r="K17" s="95">
        <f>I17*J17</f>
        <v>0</v>
      </c>
      <c r="L17" s="117"/>
      <c r="M17" s="126"/>
      <c r="N17" s="96">
        <f>L17*M17</f>
        <v>0</v>
      </c>
      <c r="O17" s="90"/>
      <c r="P17" s="91"/>
      <c r="Q17" s="91"/>
    </row>
    <row r="18" spans="1:17" ht="26.5" customHeight="1" thickTop="1" thickBot="1" x14ac:dyDescent="0.35">
      <c r="A18" s="130"/>
      <c r="B18" s="99" t="s">
        <v>8</v>
      </c>
      <c r="C18" s="122"/>
      <c r="D18" s="123"/>
      <c r="E18" s="93">
        <f>D18*C18</f>
        <v>0</v>
      </c>
      <c r="F18" s="122"/>
      <c r="G18" s="118"/>
      <c r="H18" s="94">
        <f>F18*G18</f>
        <v>0</v>
      </c>
      <c r="I18" s="122"/>
      <c r="J18" s="118"/>
      <c r="K18" s="95">
        <f>I18*J18</f>
        <v>0</v>
      </c>
      <c r="L18" s="122"/>
      <c r="M18" s="126"/>
      <c r="N18" s="96">
        <f>L18*M18</f>
        <v>0</v>
      </c>
      <c r="O18" s="90"/>
      <c r="P18" s="91"/>
      <c r="Q18" s="91"/>
    </row>
    <row r="19" spans="1:17" ht="15" thickTop="1" x14ac:dyDescent="0.3">
      <c r="F19" s="100">
        <f>(SUM(G14:G18))/2</f>
        <v>0</v>
      </c>
      <c r="G19" s="101" t="s">
        <v>38</v>
      </c>
      <c r="I19" s="100">
        <f>((SUM(J14:J18))*4)/2</f>
        <v>0</v>
      </c>
      <c r="J19" s="101" t="s">
        <v>39</v>
      </c>
      <c r="L19" s="129">
        <f>((SUM(M14:M18))*E8)/2</f>
        <v>0</v>
      </c>
      <c r="M19" s="101" t="s">
        <v>72</v>
      </c>
    </row>
    <row r="20" spans="1:17" ht="15" thickBot="1" x14ac:dyDescent="0.35">
      <c r="C20" s="135" t="s">
        <v>34</v>
      </c>
      <c r="D20" s="135"/>
      <c r="E20" s="135"/>
      <c r="F20" s="135"/>
      <c r="G20" s="135"/>
      <c r="H20" s="135"/>
      <c r="I20" s="135"/>
      <c r="J20" s="135"/>
      <c r="K20" s="135"/>
      <c r="L20" s="135"/>
      <c r="M20" s="135"/>
      <c r="N20" s="135"/>
    </row>
    <row r="21" spans="1:17" ht="26.15" customHeight="1" thickTop="1" thickBot="1" x14ac:dyDescent="0.35">
      <c r="A21" s="130" t="s">
        <v>12</v>
      </c>
      <c r="B21" s="81"/>
      <c r="C21" s="139" t="s">
        <v>22</v>
      </c>
      <c r="D21" s="139"/>
      <c r="E21" s="139"/>
      <c r="F21" s="140" t="s">
        <v>11</v>
      </c>
      <c r="G21" s="140"/>
      <c r="H21" s="140"/>
      <c r="I21" s="141" t="s">
        <v>17</v>
      </c>
      <c r="J21" s="141"/>
      <c r="K21" s="141"/>
      <c r="L21" s="142" t="s">
        <v>27</v>
      </c>
      <c r="M21" s="142"/>
      <c r="N21" s="142"/>
      <c r="O21" s="102"/>
    </row>
    <row r="22" spans="1:17" ht="44.5" thickTop="1" thickBot="1" x14ac:dyDescent="0.35">
      <c r="A22" s="130"/>
      <c r="B22" s="81"/>
      <c r="C22" s="103" t="s">
        <v>73</v>
      </c>
      <c r="D22" s="103" t="s">
        <v>3</v>
      </c>
      <c r="E22" s="103" t="s">
        <v>68</v>
      </c>
      <c r="F22" s="104" t="s">
        <v>9</v>
      </c>
      <c r="G22" s="104" t="s">
        <v>10</v>
      </c>
      <c r="H22" s="105" t="s">
        <v>20</v>
      </c>
      <c r="I22" s="106" t="s">
        <v>13</v>
      </c>
      <c r="J22" s="106" t="s">
        <v>18</v>
      </c>
      <c r="K22" s="106" t="s">
        <v>19</v>
      </c>
      <c r="L22" s="107" t="s">
        <v>21</v>
      </c>
      <c r="M22" s="107" t="s">
        <v>25</v>
      </c>
      <c r="N22" s="107" t="s">
        <v>26</v>
      </c>
      <c r="O22" s="102"/>
    </row>
    <row r="23" spans="1:17" ht="26.5" customHeight="1" thickTop="1" thickBot="1" x14ac:dyDescent="0.35">
      <c r="A23" s="130"/>
      <c r="B23" s="108" t="s">
        <v>0</v>
      </c>
      <c r="C23" s="109">
        <f>(G14*C9)*4.3</f>
        <v>0</v>
      </c>
      <c r="D23" s="109">
        <f>((J14*D9)*D8)*4.3</f>
        <v>0</v>
      </c>
      <c r="E23" s="110">
        <f>((M14*E9)*E8)*4.3</f>
        <v>0</v>
      </c>
      <c r="F23" s="127"/>
      <c r="G23" s="127"/>
      <c r="H23" s="111">
        <f>(F23*L23)+(G23*G9)</f>
        <v>0</v>
      </c>
      <c r="I23" s="112" t="e">
        <f>J23/(D14*4.3)</f>
        <v>#DIV/0!</v>
      </c>
      <c r="J23" s="113">
        <f>((E14+H14+K14+N14)*4.3)+H23</f>
        <v>0</v>
      </c>
      <c r="K23" s="112">
        <f>J23*12</f>
        <v>0</v>
      </c>
      <c r="L23" s="114">
        <f>C23+D23+E23</f>
        <v>0</v>
      </c>
      <c r="M23" s="115">
        <f>J23</f>
        <v>0</v>
      </c>
      <c r="N23" s="116" t="e">
        <f>(L23-M23)/L23</f>
        <v>#DIV/0!</v>
      </c>
      <c r="O23" s="102"/>
    </row>
    <row r="24" spans="1:17" ht="26.5" customHeight="1" thickTop="1" thickBot="1" x14ac:dyDescent="0.35">
      <c r="A24" s="130"/>
      <c r="B24" s="81" t="s">
        <v>5</v>
      </c>
      <c r="C24" s="109">
        <f>(G15*C9)*4.3</f>
        <v>0</v>
      </c>
      <c r="D24" s="109">
        <f>((J15*D9)*D8)*4.3</f>
        <v>0</v>
      </c>
      <c r="E24" s="110">
        <f>((M15*E9)*E8)*4.3</f>
        <v>0</v>
      </c>
      <c r="F24" s="127"/>
      <c r="G24" s="127"/>
      <c r="H24" s="111">
        <f>(F24*L24)+(G24*L24)</f>
        <v>0</v>
      </c>
      <c r="I24" s="112" t="e">
        <f>J24/(D15*4.3)</f>
        <v>#DIV/0!</v>
      </c>
      <c r="J24" s="113">
        <f>((E15+H15+K15+N15)*4.3)+H24</f>
        <v>0</v>
      </c>
      <c r="K24" s="112">
        <f>J24*12</f>
        <v>0</v>
      </c>
      <c r="L24" s="114">
        <f>C24+D24+E24</f>
        <v>0</v>
      </c>
      <c r="M24" s="115">
        <f>J24</f>
        <v>0</v>
      </c>
      <c r="N24" s="116" t="e">
        <f>(L24-M24)/L24</f>
        <v>#DIV/0!</v>
      </c>
      <c r="O24" s="102"/>
    </row>
    <row r="25" spans="1:17" ht="26.5" customHeight="1" thickTop="1" thickBot="1" x14ac:dyDescent="0.35">
      <c r="A25" s="130"/>
      <c r="B25" s="81" t="s">
        <v>6</v>
      </c>
      <c r="C25" s="109">
        <f>(G16*C9)*4.3</f>
        <v>0</v>
      </c>
      <c r="D25" s="109">
        <f>((J16*D9)*D8)*4.3</f>
        <v>0</v>
      </c>
      <c r="E25" s="110">
        <f>((M16*E9)*E8)*4.3</f>
        <v>0</v>
      </c>
      <c r="F25" s="127"/>
      <c r="G25" s="127"/>
      <c r="H25" s="111">
        <f>(F25*L25)+(G25*L25)</f>
        <v>0</v>
      </c>
      <c r="I25" s="112" t="e">
        <f>J25/(D16*4.3)</f>
        <v>#DIV/0!</v>
      </c>
      <c r="J25" s="113">
        <f>((E16+H16+K16+N16)*4.3)+H25</f>
        <v>0</v>
      </c>
      <c r="K25" s="112">
        <f>J25*12</f>
        <v>0</v>
      </c>
      <c r="L25" s="114">
        <f>C25+D25+E25</f>
        <v>0</v>
      </c>
      <c r="M25" s="115">
        <f>J25</f>
        <v>0</v>
      </c>
      <c r="N25" s="116" t="e">
        <f>(L25-M25)/L25</f>
        <v>#DIV/0!</v>
      </c>
      <c r="O25" s="102"/>
    </row>
    <row r="26" spans="1:17" ht="26.5" customHeight="1" thickTop="1" thickBot="1" x14ac:dyDescent="0.35">
      <c r="A26" s="130"/>
      <c r="B26" s="81" t="s">
        <v>7</v>
      </c>
      <c r="C26" s="109">
        <f>(G17*C9)*4.3</f>
        <v>0</v>
      </c>
      <c r="D26" s="109">
        <f>((J17*D9)*D8)*4.3</f>
        <v>0</v>
      </c>
      <c r="E26" s="110">
        <f>((M17*E9)*E8)*4.3</f>
        <v>0</v>
      </c>
      <c r="F26" s="127"/>
      <c r="G26" s="127"/>
      <c r="H26" s="111">
        <f>(F26*L26)+(G26*L26)</f>
        <v>0</v>
      </c>
      <c r="I26" s="112" t="e">
        <f>J26/(D17*4.3)</f>
        <v>#DIV/0!</v>
      </c>
      <c r="J26" s="113">
        <f>((E17+H17+K17+N17)*4.3)+H26</f>
        <v>0</v>
      </c>
      <c r="K26" s="112">
        <f>J26*12</f>
        <v>0</v>
      </c>
      <c r="L26" s="114">
        <f>C26+D26+E26</f>
        <v>0</v>
      </c>
      <c r="M26" s="115">
        <f>J26</f>
        <v>0</v>
      </c>
      <c r="N26" s="116" t="e">
        <f>(L26-M26)/L26</f>
        <v>#DIV/0!</v>
      </c>
      <c r="O26" s="102"/>
    </row>
    <row r="27" spans="1:17" ht="26.5" customHeight="1" thickTop="1" thickBot="1" x14ac:dyDescent="0.35">
      <c r="A27" s="130"/>
      <c r="B27" s="81" t="s">
        <v>8</v>
      </c>
      <c r="C27" s="109">
        <f>(G18*C9)*4.3</f>
        <v>0</v>
      </c>
      <c r="D27" s="109">
        <f>((J18*D9)*D8)*4.3</f>
        <v>0</v>
      </c>
      <c r="E27" s="110">
        <f>((M18*E9)*E8)*4.3</f>
        <v>0</v>
      </c>
      <c r="F27" s="127"/>
      <c r="G27" s="127"/>
      <c r="H27" s="111">
        <f>(F27*L27)+(G27*L27)</f>
        <v>0</v>
      </c>
      <c r="I27" s="112" t="e">
        <f>J27/(D18*4.3)</f>
        <v>#DIV/0!</v>
      </c>
      <c r="J27" s="113">
        <f>((E18+H18+K18+N18)*4.3)+H27</f>
        <v>0</v>
      </c>
      <c r="K27" s="112">
        <f>J27*12</f>
        <v>0</v>
      </c>
      <c r="L27" s="114">
        <f>C27+D27+E27</f>
        <v>0</v>
      </c>
      <c r="M27" s="115">
        <f>J27</f>
        <v>0</v>
      </c>
      <c r="N27" s="116" t="e">
        <f>(L27-M27)/L27</f>
        <v>#DIV/0!</v>
      </c>
      <c r="O27" s="102"/>
    </row>
    <row r="28" spans="1:17" ht="15" thickTop="1" x14ac:dyDescent="0.3"/>
    <row r="29" spans="1:17" x14ac:dyDescent="0.3">
      <c r="L29" s="150"/>
      <c r="M29" s="150"/>
      <c r="N29" s="150"/>
    </row>
    <row r="30" spans="1:17" ht="64.5" customHeight="1" x14ac:dyDescent="0.3">
      <c r="B30" s="147" t="s">
        <v>1</v>
      </c>
      <c r="C30" s="147"/>
      <c r="D30" s="147"/>
      <c r="E30" s="147"/>
      <c r="F30" s="147"/>
      <c r="G30" s="147"/>
      <c r="H30" s="147"/>
      <c r="I30" s="147"/>
      <c r="J30" s="147"/>
      <c r="K30" s="147"/>
      <c r="L30" s="147"/>
      <c r="M30" s="147"/>
      <c r="N30" s="147"/>
      <c r="O30" s="147"/>
    </row>
  </sheetData>
  <sheetProtection sheet="1" objects="1" scenarios="1" selectLockedCells="1"/>
  <mergeCells count="24">
    <mergeCell ref="B30:O30"/>
    <mergeCell ref="F1:H1"/>
    <mergeCell ref="L1:L2"/>
    <mergeCell ref="J1:J2"/>
    <mergeCell ref="L29:N29"/>
    <mergeCell ref="G7:I7"/>
    <mergeCell ref="K7:M7"/>
    <mergeCell ref="B1:D1"/>
    <mergeCell ref="O12:Q12"/>
    <mergeCell ref="A12:A18"/>
    <mergeCell ref="A21:A27"/>
    <mergeCell ref="B2:D2"/>
    <mergeCell ref="C11:N11"/>
    <mergeCell ref="C20:N20"/>
    <mergeCell ref="B5:C5"/>
    <mergeCell ref="D5:E5"/>
    <mergeCell ref="C21:E21"/>
    <mergeCell ref="F21:H21"/>
    <mergeCell ref="I21:K21"/>
    <mergeCell ref="L21:N21"/>
    <mergeCell ref="I12:K12"/>
    <mergeCell ref="L12:N12"/>
    <mergeCell ref="C12:E12"/>
    <mergeCell ref="F12:H12"/>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26"/>
  <sheetViews>
    <sheetView showGridLines="0" workbookViewId="0">
      <selection activeCell="B6" sqref="B6"/>
    </sheetView>
  </sheetViews>
  <sheetFormatPr defaultColWidth="9.06640625" defaultRowHeight="14.5" x14ac:dyDescent="0.3"/>
  <cols>
    <col min="1" max="1" width="2.46484375" style="14" customWidth="1"/>
    <col min="2" max="9" width="9.86328125" style="14" customWidth="1"/>
    <col min="10" max="16384" width="9.06640625" style="14"/>
  </cols>
  <sheetData>
    <row r="1" spans="2:10" s="1" customFormat="1" ht="51" customHeight="1" thickBot="1" x14ac:dyDescent="0.35">
      <c r="B1" s="157" t="s">
        <v>62</v>
      </c>
      <c r="C1" s="157"/>
      <c r="D1" s="157"/>
      <c r="E1" s="8"/>
      <c r="F1" s="162" t="s">
        <v>59</v>
      </c>
      <c r="G1" s="162"/>
      <c r="H1" s="162"/>
      <c r="I1" s="12"/>
      <c r="J1" s="12"/>
    </row>
    <row r="2" spans="2:10" s="1" customFormat="1" ht="15" customHeight="1" thickTop="1" thickBot="1" x14ac:dyDescent="0.35">
      <c r="B2" s="131" t="s">
        <v>35</v>
      </c>
      <c r="C2" s="132"/>
      <c r="D2" s="133"/>
      <c r="E2" s="3"/>
      <c r="F2" s="11"/>
      <c r="G2" s="4"/>
      <c r="H2" s="4"/>
      <c r="I2" s="3"/>
      <c r="J2" s="4"/>
    </row>
    <row r="3" spans="2:10" ht="15" thickTop="1" x14ac:dyDescent="0.3">
      <c r="I3" s="15"/>
      <c r="J3" s="15"/>
    </row>
    <row r="4" spans="2:10" ht="19" thickBot="1" x14ac:dyDescent="0.5">
      <c r="B4" s="159" t="s">
        <v>43</v>
      </c>
      <c r="C4" s="159"/>
      <c r="D4" s="159"/>
      <c r="E4" s="159"/>
      <c r="F4" s="159"/>
      <c r="I4" s="15"/>
      <c r="J4" s="15"/>
    </row>
    <row r="5" spans="2:10" ht="44.5" thickTop="1" thickBot="1" x14ac:dyDescent="0.35">
      <c r="B5" s="16" t="s">
        <v>50</v>
      </c>
      <c r="C5" s="17" t="s">
        <v>77</v>
      </c>
      <c r="D5" s="18" t="s">
        <v>40</v>
      </c>
      <c r="E5" s="19" t="s">
        <v>2</v>
      </c>
      <c r="F5" s="20" t="s">
        <v>49</v>
      </c>
      <c r="G5" s="21" t="s">
        <v>54</v>
      </c>
      <c r="H5" s="22" t="s">
        <v>55</v>
      </c>
      <c r="I5" s="11"/>
      <c r="J5" s="15"/>
    </row>
    <row r="6" spans="2:10" ht="26.5" customHeight="1" thickTop="1" thickBot="1" x14ac:dyDescent="0.35">
      <c r="B6" s="52">
        <v>0</v>
      </c>
      <c r="C6" s="53">
        <v>0</v>
      </c>
      <c r="D6" s="54">
        <v>0</v>
      </c>
      <c r="E6" s="54">
        <v>0</v>
      </c>
      <c r="F6" s="55">
        <v>0</v>
      </c>
      <c r="G6" s="56">
        <v>0</v>
      </c>
      <c r="H6" s="23" t="e">
        <f>'Coaching Proforma'!G9/'Coaching Projections'!G6</f>
        <v>#DIV/0!</v>
      </c>
      <c r="I6" s="24"/>
      <c r="J6" s="15"/>
    </row>
    <row r="7" spans="2:10" ht="15" thickTop="1" x14ac:dyDescent="0.3">
      <c r="D7" s="25">
        <f>D6*100</f>
        <v>0</v>
      </c>
      <c r="E7" s="25">
        <f>E6*100</f>
        <v>0</v>
      </c>
      <c r="H7" s="26"/>
    </row>
    <row r="8" spans="2:10" ht="23.5" customHeight="1" thickBot="1" x14ac:dyDescent="0.5">
      <c r="B8" s="159" t="s">
        <v>52</v>
      </c>
      <c r="C8" s="159"/>
      <c r="D8" s="159"/>
      <c r="E8" s="159"/>
      <c r="F8" s="159"/>
      <c r="G8" s="159"/>
      <c r="H8" s="160"/>
      <c r="I8" s="160"/>
    </row>
    <row r="9" spans="2:10" ht="44.5" thickTop="1" thickBot="1" x14ac:dyDescent="0.35">
      <c r="B9" s="16" t="s">
        <v>61</v>
      </c>
      <c r="C9" s="17" t="s">
        <v>78</v>
      </c>
      <c r="D9" s="41" t="s">
        <v>79</v>
      </c>
      <c r="E9" s="19" t="s">
        <v>80</v>
      </c>
      <c r="F9" s="31" t="s">
        <v>56</v>
      </c>
      <c r="G9" s="42" t="s">
        <v>57</v>
      </c>
      <c r="H9" s="43" t="s">
        <v>58</v>
      </c>
      <c r="I9" s="44"/>
    </row>
    <row r="10" spans="2:10" ht="26.5" customHeight="1" thickTop="1" thickBot="1" x14ac:dyDescent="0.35">
      <c r="B10" s="45" t="e">
        <f>H6/F6</f>
        <v>#DIV/0!</v>
      </c>
      <c r="C10" s="46">
        <f>B6*C6</f>
        <v>0</v>
      </c>
      <c r="D10" s="47">
        <f>C10*D6</f>
        <v>0</v>
      </c>
      <c r="E10" s="46">
        <f>D10*E6</f>
        <v>0</v>
      </c>
      <c r="F10" s="46" t="e">
        <f>(100*G10)/D7</f>
        <v>#DIV/0!</v>
      </c>
      <c r="G10" s="37" t="e">
        <f>(E7*H10)/B10</f>
        <v>#DIV/0!</v>
      </c>
      <c r="H10" s="48" t="e">
        <f>B10-E10</f>
        <v>#DIV/0!</v>
      </c>
      <c r="I10" s="49"/>
    </row>
    <row r="11" spans="2:10" ht="15.65" customHeight="1" thickTop="1" x14ac:dyDescent="0.3">
      <c r="B11" s="26"/>
      <c r="C11" s="26"/>
    </row>
    <row r="12" spans="2:10" ht="23.5" customHeight="1" thickBot="1" x14ac:dyDescent="0.5">
      <c r="B12" s="159" t="s">
        <v>53</v>
      </c>
      <c r="C12" s="159"/>
      <c r="D12" s="159"/>
      <c r="E12" s="159"/>
      <c r="F12" s="159"/>
      <c r="G12" s="159"/>
      <c r="H12" s="160"/>
      <c r="I12" s="160"/>
    </row>
    <row r="13" spans="2:10" ht="44.5" thickTop="1" thickBot="1" x14ac:dyDescent="0.35">
      <c r="B13" s="16" t="s">
        <v>61</v>
      </c>
      <c r="C13" s="17" t="s">
        <v>78</v>
      </c>
      <c r="D13" s="41" t="s">
        <v>79</v>
      </c>
      <c r="E13" s="19" t="s">
        <v>80</v>
      </c>
      <c r="F13" s="31" t="s">
        <v>56</v>
      </c>
      <c r="G13" s="42" t="s">
        <v>57</v>
      </c>
      <c r="H13" s="43" t="s">
        <v>58</v>
      </c>
    </row>
    <row r="14" spans="2:10" ht="26.5" customHeight="1" thickTop="1" thickBot="1" x14ac:dyDescent="0.35">
      <c r="B14" s="45" t="e">
        <f>B10/4.3</f>
        <v>#DIV/0!</v>
      </c>
      <c r="C14" s="45">
        <f t="shared" ref="C14:G14" si="0">C10/4.3</f>
        <v>0</v>
      </c>
      <c r="D14" s="45">
        <f t="shared" si="0"/>
        <v>0</v>
      </c>
      <c r="E14" s="45">
        <f t="shared" si="0"/>
        <v>0</v>
      </c>
      <c r="F14" s="45" t="e">
        <f t="shared" si="0"/>
        <v>#DIV/0!</v>
      </c>
      <c r="G14" s="45" t="e">
        <f t="shared" si="0"/>
        <v>#DIV/0!</v>
      </c>
      <c r="H14" s="50" t="e">
        <f>H10/4.3</f>
        <v>#DIV/0!</v>
      </c>
    </row>
    <row r="15" spans="2:10" ht="15.65" customHeight="1" thickTop="1" x14ac:dyDescent="0.3">
      <c r="G15" s="26"/>
      <c r="H15" s="15"/>
      <c r="I15" s="15"/>
    </row>
    <row r="16" spans="2:10" ht="23.5" customHeight="1" thickBot="1" x14ac:dyDescent="0.5">
      <c r="B16" s="159" t="s">
        <v>63</v>
      </c>
      <c r="C16" s="159"/>
      <c r="D16" s="159"/>
      <c r="E16" s="159"/>
      <c r="F16" s="159"/>
      <c r="G16" s="159"/>
      <c r="H16" s="160"/>
      <c r="I16" s="160"/>
    </row>
    <row r="17" spans="2:10" ht="44.5" thickTop="1" thickBot="1" x14ac:dyDescent="0.35">
      <c r="B17" s="27" t="s">
        <v>65</v>
      </c>
      <c r="C17" s="28" t="s">
        <v>51</v>
      </c>
      <c r="D17" s="29" t="s">
        <v>47</v>
      </c>
      <c r="E17" s="30" t="s">
        <v>44</v>
      </c>
      <c r="F17" s="31" t="s">
        <v>41</v>
      </c>
      <c r="G17" s="32" t="s">
        <v>42</v>
      </c>
      <c r="H17" s="33" t="s">
        <v>48</v>
      </c>
      <c r="I17" s="11"/>
    </row>
    <row r="18" spans="2:10" ht="26.5" customHeight="1" thickTop="1" thickBot="1" x14ac:dyDescent="0.35">
      <c r="B18" s="34">
        <f>'Coaching Proforma'!M14+'Coaching Proforma'!M15+'Coaching Proforma'!M16+'Coaching Proforma'!M17+'Coaching Proforma'!M18</f>
        <v>0</v>
      </c>
      <c r="C18" s="128">
        <f>(B18*'Coaching Proforma'!E8)/2</f>
        <v>0</v>
      </c>
      <c r="D18" s="36">
        <v>79</v>
      </c>
      <c r="E18" s="36">
        <f>C18*D18</f>
        <v>0</v>
      </c>
      <c r="F18" s="37">
        <f>C18*0.35</f>
        <v>0</v>
      </c>
      <c r="G18" s="38">
        <f>F18*152</f>
        <v>0</v>
      </c>
      <c r="H18" s="39">
        <f>G18*12</f>
        <v>0</v>
      </c>
      <c r="I18" s="40"/>
    </row>
    <row r="19" spans="2:10" ht="15" thickTop="1" x14ac:dyDescent="0.3">
      <c r="G19" s="26"/>
      <c r="H19" s="15"/>
      <c r="I19" s="15"/>
    </row>
    <row r="20" spans="2:10" ht="23.5" customHeight="1" thickBot="1" x14ac:dyDescent="0.5">
      <c r="B20" s="159" t="s">
        <v>64</v>
      </c>
      <c r="C20" s="159"/>
      <c r="D20" s="159"/>
      <c r="E20" s="159"/>
      <c r="F20" s="159"/>
      <c r="G20" s="159"/>
      <c r="H20" s="160"/>
      <c r="I20" s="160"/>
    </row>
    <row r="21" spans="2:10" ht="44.5" thickTop="1" thickBot="1" x14ac:dyDescent="0.35">
      <c r="B21" s="59" t="s">
        <v>66</v>
      </c>
      <c r="C21" s="28" t="s">
        <v>51</v>
      </c>
      <c r="D21" s="29" t="s">
        <v>47</v>
      </c>
      <c r="E21" s="30" t="s">
        <v>44</v>
      </c>
      <c r="F21" s="31" t="s">
        <v>41</v>
      </c>
      <c r="G21" s="32" t="s">
        <v>42</v>
      </c>
      <c r="H21" s="33" t="s">
        <v>48</v>
      </c>
      <c r="I21" s="11"/>
    </row>
    <row r="22" spans="2:10" ht="26.5" customHeight="1" thickTop="1" thickBot="1" x14ac:dyDescent="0.35">
      <c r="B22" s="34">
        <f>'Coaching Proforma'!J14+'Coaching Proforma'!J15+'Coaching Proforma'!J16+'Coaching Proforma'!J17+'Coaching Proforma'!J18</f>
        <v>0</v>
      </c>
      <c r="C22" s="35">
        <f>(B22*'Coaching Proforma'!D8)/2</f>
        <v>0</v>
      </c>
      <c r="D22" s="36">
        <v>179</v>
      </c>
      <c r="E22" s="36">
        <f>C22*D22</f>
        <v>0</v>
      </c>
      <c r="F22" s="37">
        <f>C22*0.35</f>
        <v>0</v>
      </c>
      <c r="G22" s="38">
        <f>F22*152</f>
        <v>0</v>
      </c>
      <c r="H22" s="39">
        <f>G22*12</f>
        <v>0</v>
      </c>
      <c r="I22" s="40"/>
    </row>
    <row r="23" spans="2:10" ht="15" thickTop="1" x14ac:dyDescent="0.3"/>
    <row r="24" spans="2:10" ht="77.5" customHeight="1" x14ac:dyDescent="0.3">
      <c r="B24" s="161" t="s">
        <v>1</v>
      </c>
      <c r="C24" s="161"/>
      <c r="D24" s="161"/>
      <c r="E24" s="161"/>
      <c r="F24" s="161"/>
      <c r="G24" s="161"/>
      <c r="H24" s="161"/>
      <c r="I24" s="51"/>
      <c r="J24" s="51"/>
    </row>
    <row r="25" spans="2:10" x14ac:dyDescent="0.3">
      <c r="C25" s="26"/>
    </row>
    <row r="26" spans="2:10" x14ac:dyDescent="0.3">
      <c r="C26" s="26"/>
    </row>
  </sheetData>
  <sheetProtection sheet="1" objects="1" scenarios="1" selectLockedCells="1"/>
  <mergeCells count="9">
    <mergeCell ref="B8:I8"/>
    <mergeCell ref="B12:I12"/>
    <mergeCell ref="B24:H24"/>
    <mergeCell ref="B20:I20"/>
    <mergeCell ref="B1:D1"/>
    <mergeCell ref="B2:D2"/>
    <mergeCell ref="F1:H1"/>
    <mergeCell ref="B4:F4"/>
    <mergeCell ref="B16:I16"/>
  </mergeCell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8B3F1F99-C7FE-4840-83BE-C79B20AE9B16}">
            <xm:f>NOT(ISERROR(SEARCH("-",F10)))</xm:f>
            <xm:f>"-"</xm:f>
            <x14:dxf>
              <fill>
                <patternFill>
                  <bgColor theme="1"/>
                </patternFill>
              </fill>
            </x14:dxf>
          </x14:cfRule>
          <xm:sqref>F10:H10</xm:sqref>
        </x14:conditionalFormatting>
        <x14:conditionalFormatting xmlns:xm="http://schemas.microsoft.com/office/excel/2006/main">
          <x14:cfRule type="containsText" priority="1" operator="containsText" id="{28536AB4-4C9B-48D2-B048-DF216F46E57D}">
            <xm:f>NOT(ISERROR(SEARCH("-",F14)))</xm:f>
            <xm:f>"-"</xm:f>
            <x14:dxf>
              <fill>
                <patternFill>
                  <bgColor theme="1"/>
                </patternFill>
              </fill>
            </x14:dxf>
          </x14:cfRule>
          <xm:sqref>F14:H14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Coaching Proforma</vt:lpstr>
      <vt:lpstr>Coaching Projections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Rachel.Southard@sebrands.com</dc:creator>
  <cp:lastModifiedBy>Luke Andrus</cp:lastModifiedBy>
  <cp:lastPrinted>2016-08-03T21:54:49Z</cp:lastPrinted>
  <dcterms:created xsi:type="dcterms:W3CDTF">2014-07-18T17:04:43Z</dcterms:created>
  <dcterms:modified xsi:type="dcterms:W3CDTF">2019-01-24T16:56:34Z</dcterms:modified>
</cp:coreProperties>
</file>