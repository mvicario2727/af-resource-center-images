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/>
  <mc:AlternateContent xmlns:mc="http://schemas.openxmlformats.org/markup-compatibility/2006">
    <mc:Choice Requires="x15">
      <x15ac:absPath xmlns:x15ac="http://schemas.microsoft.com/office/spreadsheetml/2010/11/ac" url="/Users/Deb.Pias/Downloads/"/>
    </mc:Choice>
  </mc:AlternateContent>
  <xr:revisionPtr revIDLastSave="0" documentId="13_ncr:1_{97BDDD80-2F1B-3346-88BC-8F4DEE46C204}" xr6:coauthVersionLast="47" xr6:coauthVersionMax="47" xr10:uidLastSave="{00000000-0000-0000-0000-000000000000}"/>
  <bookViews>
    <workbookView xWindow="1120" yWindow="500" windowWidth="50080" windowHeight="24540" xr2:uid="{00000000-000D-0000-FFFF-FFFF00000000}"/>
  </bookViews>
  <sheets>
    <sheet name="Presale Membership Calculator" sheetId="1" r:id="rId1"/>
    <sheet name="SGT TE Calculator" sheetId="4" r:id="rId2"/>
    <sheet name="Team TE Calculato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" i="3" l="1"/>
  <c r="E3" i="4"/>
  <c r="A31" i="1"/>
  <c r="A28" i="1"/>
  <c r="A25" i="1"/>
  <c r="A22" i="1"/>
  <c r="A19" i="1"/>
  <c r="A15" i="1"/>
  <c r="A9" i="1"/>
  <c r="D3" i="4" l="1"/>
  <c r="A11" i="4" s="1"/>
  <c r="B3" i="3"/>
  <c r="E3" i="3" s="1"/>
  <c r="A17" i="3" l="1"/>
  <c r="A11" i="3"/>
  <c r="A17" i="4"/>
</calcChain>
</file>

<file path=xl/sharedStrings.xml><?xml version="1.0" encoding="utf-8"?>
<sst xmlns="http://schemas.openxmlformats.org/spreadsheetml/2006/main" count="46" uniqueCount="39">
  <si>
    <t>How many appointments do you need to reach goal?</t>
  </si>
  <si>
    <t>How many calls will it take to reach goal</t>
  </si>
  <si>
    <t>Security Fee</t>
  </si>
  <si>
    <t>Enrollment Fee</t>
  </si>
  <si>
    <t>Benchmarks</t>
  </si>
  <si>
    <t>Book - 60%</t>
  </si>
  <si>
    <t>Show - 50%</t>
  </si>
  <si>
    <t>Close - 75%</t>
  </si>
  <si>
    <t>What is the square footage of your turf space?</t>
  </si>
  <si>
    <t>Goal # of spots to fill</t>
  </si>
  <si>
    <t>How many TE to sell</t>
  </si>
  <si>
    <t>How much are you charging for your TE?</t>
  </si>
  <si>
    <t>Setting Goals for your Team Training Experience</t>
  </si>
  <si>
    <t>Setting Goals for your SGT Training Experience</t>
  </si>
  <si>
    <r>
      <t xml:space="preserve">Sessions per week </t>
    </r>
    <r>
      <rPr>
        <b/>
        <sz val="10"/>
        <rFont val="Calibri"/>
        <family val="2"/>
        <scheme val="minor"/>
      </rPr>
      <t>(recommend between 8 - 12)</t>
    </r>
  </si>
  <si>
    <r>
      <t xml:space="preserve">Total Revenue from TE Packages </t>
    </r>
    <r>
      <rPr>
        <b/>
        <sz val="10"/>
        <color theme="1"/>
        <rFont val="Calibri"/>
        <family val="2"/>
        <scheme val="minor"/>
      </rPr>
      <t>(before trainer compensation)</t>
    </r>
    <r>
      <rPr>
        <b/>
        <sz val="11"/>
        <color theme="1"/>
        <rFont val="Calibri"/>
        <family val="2"/>
        <scheme val="minor"/>
      </rPr>
      <t>:</t>
    </r>
  </si>
  <si>
    <r>
      <t>Total days in presale</t>
    </r>
    <r>
      <rPr>
        <b/>
        <sz val="10"/>
        <color theme="1"/>
        <rFont val="Calibri"/>
        <family val="2"/>
        <scheme val="minor"/>
      </rPr>
      <t xml:space="preserve"> (recommend minimum 36 days, 6 working days/week)</t>
    </r>
    <r>
      <rPr>
        <b/>
        <sz val="11"/>
        <color theme="1"/>
        <rFont val="Calibri"/>
        <family val="2"/>
        <scheme val="minor"/>
      </rPr>
      <t>:</t>
    </r>
  </si>
  <si>
    <t>How many TE you need to sell per day to meet goal:</t>
  </si>
  <si>
    <r>
      <t xml:space="preserve">Members per session </t>
    </r>
    <r>
      <rPr>
        <b/>
        <sz val="10"/>
        <rFont val="Calibri"/>
        <family val="2"/>
        <scheme val="minor"/>
      </rPr>
      <t>(recommend between 2 - 4)</t>
    </r>
  </si>
  <si>
    <t>How many TEs to sell</t>
  </si>
  <si>
    <t>How many TEs you need to sell per week to meet goal:</t>
  </si>
  <si>
    <r>
      <t xml:space="preserve">Members per session </t>
    </r>
    <r>
      <rPr>
        <b/>
        <sz val="10"/>
        <rFont val="Calibri"/>
        <family val="2"/>
        <scheme val="minor"/>
      </rPr>
      <t>(atleast 5)</t>
    </r>
  </si>
  <si>
    <r>
      <t>Sessions per week</t>
    </r>
    <r>
      <rPr>
        <b/>
        <sz val="10"/>
        <rFont val="Calibri"/>
        <family val="2"/>
        <scheme val="minor"/>
      </rPr>
      <t xml:space="preserve"> (recommend between 8 - 12)</t>
    </r>
  </si>
  <si>
    <t>EDITABLE FIELD</t>
  </si>
  <si>
    <t>LOCKED DOWN FIELD</t>
  </si>
  <si>
    <t>*TE = Training Experience. Includes 2 sessions per week per member</t>
  </si>
  <si>
    <t xml:space="preserve">*SGT = Small Group Training
*TE = Training Experience. Includes 2 sessions per week per member
</t>
  </si>
  <si>
    <t>Total days in presale (recommend minimum 36 days, 6 working days / week):</t>
  </si>
  <si>
    <r>
      <rPr>
        <b/>
        <sz val="16"/>
        <color rgb="FF6E38D5"/>
        <rFont val="Century Gothic"/>
        <family val="1"/>
      </rPr>
      <t>Setting Goals for your Membership Presale</t>
    </r>
    <r>
      <rPr>
        <b/>
        <sz val="17"/>
        <color rgb="FF6E38D5"/>
        <rFont val="Century Gothic"/>
        <family val="1"/>
      </rPr>
      <t xml:space="preserve">  </t>
    </r>
    <r>
      <rPr>
        <b/>
        <sz val="17"/>
        <color rgb="FF6600FF"/>
        <rFont val="Century Gothic"/>
        <family val="2"/>
      </rPr>
      <t xml:space="preserve">                                                     </t>
    </r>
    <r>
      <rPr>
        <b/>
        <sz val="9"/>
        <color rgb="FF6600FF"/>
        <rFont val="Calibri Light"/>
        <family val="2"/>
        <scheme val="major"/>
      </rPr>
      <t xml:space="preserve"> </t>
    </r>
    <r>
      <rPr>
        <sz val="10"/>
        <color rgb="FF6600FF"/>
        <rFont val="Calibri Light (Headings)"/>
      </rPr>
      <t>Note: The equations below use a ration of 40 dials on the phone to book 5 appointments.</t>
    </r>
  </si>
  <si>
    <t>How many members do you want in presale? (recommend minimum 150)</t>
  </si>
  <si>
    <t>Total days in presale (recommend minimum 36 days, 6 working days / week)</t>
  </si>
  <si>
    <t>How many calls / day to reach goal?</t>
  </si>
  <si>
    <t>How many appointments / day to reach goal?</t>
  </si>
  <si>
    <t>How many member signups / day to reach goal?</t>
  </si>
  <si>
    <t>Total cash collected in presale (only security and enrollment fee)</t>
  </si>
  <si>
    <t>Total dues upon opening</t>
  </si>
  <si>
    <t>Average Member Value / Month</t>
  </si>
  <si>
    <t>Appointment Show % (recommend min. 50%)</t>
  </si>
  <si>
    <t>Closing % 
(recommend min. 75%)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</si>
</sst>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rgb="FF6600FF"/>
      <name val="Calibri Light"/>
      <family val="2"/>
      <scheme val="major"/>
    </font>
    <font>
      <b/>
      <sz val="9"/>
      <color rgb="FFFF0000"/>
      <name val="Calibri"/>
      <family val="2"/>
      <scheme val="minor"/>
    </font>
    <font>
      <b/>
      <sz val="17"/>
      <color rgb="FF6600FF"/>
      <name val="Century Gothic"/>
      <family val="2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6"/>
      <color rgb="FF6E38D5"/>
      <name val="Century Gothic"/>
      <family val="1"/>
    </font>
    <font>
      <b/>
      <sz val="17"/>
      <color rgb="FF6E38D5"/>
      <name val="Century Gothic"/>
      <family val="1"/>
    </font>
    <font>
      <b/>
      <sz val="9"/>
      <color rgb="FF6600FF"/>
      <name val="Calibri Light"/>
      <family val="1"/>
      <scheme val="major"/>
    </font>
    <font>
      <b/>
      <sz val="16"/>
      <color rgb="FF6E38D5"/>
      <name val="Century Gothic"/>
      <family val="2"/>
    </font>
    <font>
      <sz val="11"/>
      <color rgb="FF6E38D5"/>
      <name val="Calibri"/>
      <family val="2"/>
      <scheme val="minor"/>
    </font>
    <font>
      <sz val="10"/>
      <color rgb="FF6600FF"/>
      <name val="Calibri Light (Headings)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</patternFill>
    </fill>
    <fill>
      <patternFill patternType="solid">
        <fgColor rgb="FF2ED7DE"/>
        <bgColor indexed="64"/>
      </patternFill>
    </fill>
    <fill>
      <patternFill patternType="solid">
        <fgColor rgb="FF6E38D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1" fillId="3" borderId="0" applyNumberFormat="0" applyBorder="0" applyAlignment="0" applyProtection="0"/>
  </cellStyleXfs>
  <cellXfs count="5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4" fillId="0" borderId="1" xfId="0" applyFont="1" applyBorder="1"/>
    <xf numFmtId="0" fontId="4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1" fillId="0" borderId="0" xfId="0" applyFont="1" applyAlignment="1">
      <alignment wrapText="1"/>
    </xf>
    <xf numFmtId="1" fontId="0" fillId="0" borderId="0" xfId="0" applyNumberFormat="1"/>
    <xf numFmtId="1" fontId="0" fillId="0" borderId="0" xfId="0" applyNumberFormat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1" fontId="5" fillId="2" borderId="0" xfId="0" applyNumberFormat="1" applyFont="1" applyFill="1"/>
    <xf numFmtId="1" fontId="1" fillId="0" borderId="1" xfId="0" applyNumberFormat="1" applyFont="1" applyBorder="1"/>
    <xf numFmtId="1" fontId="0" fillId="0" borderId="1" xfId="0" applyNumberFormat="1" applyBorder="1"/>
    <xf numFmtId="1" fontId="5" fillId="0" borderId="1" xfId="0" applyNumberFormat="1" applyFont="1" applyBorder="1"/>
    <xf numFmtId="1" fontId="0" fillId="0" borderId="1" xfId="0" applyNumberFormat="1" applyBorder="1" applyAlignment="1">
      <alignment horizontal="center"/>
    </xf>
    <xf numFmtId="1" fontId="0" fillId="0" borderId="0" xfId="0" applyNumberFormat="1" applyAlignment="1">
      <alignment wrapText="1"/>
    </xf>
    <xf numFmtId="1" fontId="5" fillId="2" borderId="0" xfId="0" applyNumberFormat="1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1" fontId="0" fillId="0" borderId="0" xfId="0" applyNumberFormat="1" applyAlignment="1">
      <alignment horizontal="center" wrapText="1"/>
    </xf>
    <xf numFmtId="1" fontId="5" fillId="2" borderId="0" xfId="0" applyNumberFormat="1" applyFont="1" applyFill="1" applyAlignment="1">
      <alignment horizontal="center" wrapText="1"/>
    </xf>
    <xf numFmtId="0" fontId="0" fillId="0" borderId="0" xfId="0" applyAlignment="1">
      <alignment horizontal="center" wrapText="1"/>
    </xf>
    <xf numFmtId="0" fontId="5" fillId="2" borderId="0" xfId="0" applyFont="1" applyFill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1" fontId="7" fillId="0" borderId="6" xfId="0" applyNumberFormat="1" applyFont="1" applyBorder="1" applyAlignment="1">
      <alignment horizontal="left" vertical="top" wrapText="1"/>
    </xf>
    <xf numFmtId="1" fontId="7" fillId="0" borderId="3" xfId="0" applyNumberFormat="1" applyFont="1" applyBorder="1" applyAlignment="1">
      <alignment horizontal="left" vertical="top" wrapText="1"/>
    </xf>
    <xf numFmtId="44" fontId="11" fillId="4" borderId="7" xfId="1" applyNumberFormat="1" applyFill="1" applyBorder="1" applyAlignment="1">
      <alignment horizontal="center"/>
    </xf>
    <xf numFmtId="9" fontId="11" fillId="4" borderId="7" xfId="1" applyNumberFormat="1" applyFill="1" applyBorder="1" applyAlignment="1">
      <alignment horizontal="center"/>
    </xf>
    <xf numFmtId="44" fontId="11" fillId="4" borderId="8" xfId="1" applyNumberFormat="1" applyFill="1" applyBorder="1" applyAlignment="1">
      <alignment horizontal="center"/>
    </xf>
    <xf numFmtId="9" fontId="11" fillId="4" borderId="8" xfId="1" applyNumberFormat="1" applyFill="1" applyBorder="1" applyAlignment="1">
      <alignment horizontal="center"/>
    </xf>
    <xf numFmtId="1" fontId="1" fillId="4" borderId="1" xfId="0" applyNumberFormat="1" applyFont="1" applyFill="1" applyBorder="1" applyAlignment="1">
      <alignment horizontal="center"/>
    </xf>
    <xf numFmtId="1" fontId="5" fillId="4" borderId="0" xfId="0" applyNumberFormat="1" applyFont="1" applyFill="1" applyAlignment="1">
      <alignment horizontal="left" vertical="center"/>
    </xf>
    <xf numFmtId="164" fontId="1" fillId="4" borderId="0" xfId="0" applyNumberFormat="1" applyFont="1" applyFill="1" applyAlignment="1">
      <alignment horizontal="left" vertical="center"/>
    </xf>
    <xf numFmtId="1" fontId="5" fillId="4" borderId="0" xfId="0" applyNumberFormat="1" applyFont="1" applyFill="1" applyAlignment="1">
      <alignment wrapText="1"/>
    </xf>
    <xf numFmtId="0" fontId="5" fillId="4" borderId="0" xfId="0" applyFont="1" applyFill="1" applyAlignment="1">
      <alignment wrapText="1"/>
    </xf>
    <xf numFmtId="0" fontId="1" fillId="4" borderId="0" xfId="0" applyFont="1" applyFill="1" applyAlignment="1">
      <alignment wrapText="1"/>
    </xf>
    <xf numFmtId="1" fontId="1" fillId="4" borderId="0" xfId="0" applyNumberFormat="1" applyFont="1" applyFill="1" applyAlignment="1">
      <alignment horizontal="left" vertical="center"/>
    </xf>
    <xf numFmtId="0" fontId="5" fillId="4" borderId="0" xfId="0" applyFont="1" applyFill="1" applyAlignment="1">
      <alignment horizontal="center" wrapText="1"/>
    </xf>
    <xf numFmtId="1" fontId="14" fillId="0" borderId="2" xfId="0" applyNumberFormat="1" applyFont="1" applyBorder="1" applyAlignment="1">
      <alignment horizontal="left" vertical="top" wrapText="1"/>
    </xf>
    <xf numFmtId="1" fontId="3" fillId="5" borderId="1" xfId="0" applyNumberFormat="1" applyFont="1" applyFill="1" applyBorder="1" applyAlignment="1">
      <alignment horizontal="center"/>
    </xf>
    <xf numFmtId="164" fontId="3" fillId="5" borderId="1" xfId="0" applyNumberFormat="1" applyFont="1" applyFill="1" applyBorder="1" applyAlignment="1">
      <alignment horizontal="center"/>
    </xf>
    <xf numFmtId="0" fontId="3" fillId="5" borderId="0" xfId="0" applyFont="1" applyFill="1" applyAlignment="1">
      <alignment wrapText="1"/>
    </xf>
    <xf numFmtId="1" fontId="3" fillId="5" borderId="0" xfId="0" applyNumberFormat="1" applyFont="1" applyFill="1" applyAlignment="1">
      <alignment wrapText="1"/>
    </xf>
    <xf numFmtId="164" fontId="3" fillId="5" borderId="0" xfId="0" applyNumberFormat="1" applyFont="1" applyFill="1" applyAlignment="1">
      <alignment horizontal="left" vertical="center"/>
    </xf>
    <xf numFmtId="2" fontId="3" fillId="5" borderId="0" xfId="0" applyNumberFormat="1" applyFont="1" applyFill="1" applyAlignment="1">
      <alignment horizontal="left" vertical="center"/>
    </xf>
    <xf numFmtId="1" fontId="15" fillId="0" borderId="0" xfId="0" applyNumberFormat="1" applyFont="1" applyAlignment="1">
      <alignment horizontal="left" vertical="center"/>
    </xf>
    <xf numFmtId="1" fontId="16" fillId="0" borderId="0" xfId="0" applyNumberFormat="1" applyFont="1" applyAlignment="1">
      <alignment horizontal="left" vertical="center" wrapText="1"/>
    </xf>
    <xf numFmtId="1" fontId="3" fillId="5" borderId="0" xfId="0" applyNumberFormat="1" applyFont="1" applyFill="1"/>
    <xf numFmtId="1" fontId="3" fillId="5" borderId="0" xfId="0" applyNumberFormat="1" applyFont="1" applyFill="1" applyAlignment="1">
      <alignment horizontal="center" wrapText="1"/>
    </xf>
    <xf numFmtId="1" fontId="3" fillId="5" borderId="0" xfId="0" applyNumberFormat="1" applyFont="1" applyFill="1" applyAlignment="1">
      <alignment horizontal="left" vertical="center"/>
    </xf>
    <xf numFmtId="1" fontId="16" fillId="0" borderId="0" xfId="0" applyNumberFormat="1" applyFont="1" applyAlignment="1">
      <alignment horizontal="left" vertical="center"/>
    </xf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colors>
    <mruColors>
      <color rgb="FF6E38D5"/>
      <color rgb="FF2ED7DE"/>
      <color rgb="FF6600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tabSelected="1" zoomScale="186" zoomScaleNormal="186" workbookViewId="0">
      <selection activeCell="E2" sqref="E2"/>
    </sheetView>
  </sheetViews>
  <sheetFormatPr baseColWidth="10" defaultColWidth="8.83203125" defaultRowHeight="15" x14ac:dyDescent="0.2"/>
  <cols>
    <col min="1" max="1" width="67.5" style="10" customWidth="1"/>
    <col min="2" max="2" width="8.5" customWidth="1"/>
    <col min="3" max="3" width="11.1640625" customWidth="1"/>
    <col min="4" max="4" width="17.6640625" customWidth="1"/>
    <col min="5" max="6" width="27.5" customWidth="1"/>
    <col min="8" max="8" width="25" style="7" customWidth="1"/>
  </cols>
  <sheetData>
    <row r="1" spans="1:8" ht="2.25" customHeight="1" x14ac:dyDescent="0.2">
      <c r="A1" s="25"/>
      <c r="B1" s="26"/>
      <c r="C1" s="26"/>
      <c r="D1" s="26"/>
      <c r="E1" s="26"/>
      <c r="F1" s="27"/>
    </row>
    <row r="2" spans="1:8" ht="42" customHeight="1" x14ac:dyDescent="0.2">
      <c r="A2" s="42" t="s">
        <v>28</v>
      </c>
      <c r="B2" s="3" t="s">
        <v>2</v>
      </c>
      <c r="C2" s="3" t="s">
        <v>3</v>
      </c>
      <c r="D2" s="3" t="s">
        <v>36</v>
      </c>
      <c r="E2" s="3" t="s">
        <v>37</v>
      </c>
      <c r="F2" s="3" t="s">
        <v>38</v>
      </c>
    </row>
    <row r="3" spans="1:8" x14ac:dyDescent="0.2">
      <c r="A3" s="28"/>
      <c r="B3" s="30">
        <v>0</v>
      </c>
      <c r="C3" s="30">
        <v>0</v>
      </c>
      <c r="D3" s="30"/>
      <c r="E3" s="31"/>
      <c r="F3" s="31"/>
    </row>
    <row r="4" spans="1:8" ht="18" customHeight="1" x14ac:dyDescent="0.2">
      <c r="A4" s="29"/>
      <c r="B4" s="32"/>
      <c r="C4" s="32"/>
      <c r="D4" s="32"/>
      <c r="E4" s="33"/>
      <c r="F4" s="33"/>
    </row>
    <row r="5" spans="1:8" ht="16" x14ac:dyDescent="0.2">
      <c r="A5" s="14" t="s">
        <v>29</v>
      </c>
      <c r="B5" s="1"/>
      <c r="C5" s="1"/>
      <c r="D5" s="1"/>
      <c r="E5" s="1"/>
      <c r="F5" s="1"/>
      <c r="H5" s="39" t="s">
        <v>23</v>
      </c>
    </row>
    <row r="6" spans="1:8" ht="16" x14ac:dyDescent="0.2">
      <c r="A6" s="34"/>
      <c r="B6" s="1"/>
      <c r="C6" s="1"/>
      <c r="D6" s="1"/>
      <c r="E6" s="1"/>
      <c r="F6" s="1"/>
      <c r="H6" s="45" t="s">
        <v>24</v>
      </c>
    </row>
    <row r="7" spans="1:8" x14ac:dyDescent="0.2">
      <c r="A7" s="15"/>
      <c r="B7" s="1"/>
      <c r="C7" s="1"/>
      <c r="D7" s="1"/>
      <c r="E7" s="1"/>
      <c r="F7" s="1"/>
    </row>
    <row r="8" spans="1:8" s="5" customFormat="1" x14ac:dyDescent="0.2">
      <c r="A8" s="16" t="s">
        <v>0</v>
      </c>
      <c r="B8" s="4"/>
      <c r="C8" s="4"/>
      <c r="D8" s="4"/>
      <c r="E8" s="4"/>
      <c r="F8" s="4"/>
      <c r="H8" s="8"/>
    </row>
    <row r="9" spans="1:8" s="6" customFormat="1" ht="16" x14ac:dyDescent="0.2">
      <c r="A9" s="43" t="e">
        <f>A6/F3/E3</f>
        <v>#DIV/0!</v>
      </c>
      <c r="B9" s="2"/>
      <c r="C9" s="2"/>
      <c r="D9" s="2"/>
      <c r="E9" s="2"/>
      <c r="F9" s="2"/>
      <c r="H9" s="9" t="s">
        <v>4</v>
      </c>
    </row>
    <row r="10" spans="1:8" ht="16" x14ac:dyDescent="0.2">
      <c r="A10" s="15"/>
      <c r="B10" s="1"/>
      <c r="C10" s="1"/>
      <c r="D10" s="1"/>
      <c r="E10" s="1"/>
      <c r="F10" s="1"/>
      <c r="H10" s="7" t="s">
        <v>5</v>
      </c>
    </row>
    <row r="11" spans="1:8" ht="15.75" customHeight="1" x14ac:dyDescent="0.2">
      <c r="A11" s="14" t="s">
        <v>30</v>
      </c>
      <c r="B11" s="1"/>
      <c r="C11" s="1"/>
      <c r="D11" s="1"/>
      <c r="E11" s="1"/>
      <c r="F11" s="1"/>
      <c r="H11" s="7" t="s">
        <v>6</v>
      </c>
    </row>
    <row r="12" spans="1:8" ht="16" x14ac:dyDescent="0.2">
      <c r="A12" s="34"/>
      <c r="B12" s="1"/>
      <c r="C12" s="1"/>
      <c r="D12" s="1"/>
      <c r="E12" s="1"/>
      <c r="F12" s="1"/>
      <c r="H12" s="7" t="s">
        <v>7</v>
      </c>
    </row>
    <row r="13" spans="1:8" x14ac:dyDescent="0.2">
      <c r="A13" s="15"/>
      <c r="B13" s="1"/>
      <c r="C13" s="1"/>
      <c r="D13" s="1"/>
      <c r="E13" s="1"/>
      <c r="F13" s="1"/>
    </row>
    <row r="14" spans="1:8" x14ac:dyDescent="0.2">
      <c r="A14" s="16" t="s">
        <v>1</v>
      </c>
      <c r="B14" s="1"/>
      <c r="C14" s="1"/>
      <c r="D14" s="1"/>
      <c r="E14" s="1"/>
      <c r="F14" s="1"/>
    </row>
    <row r="15" spans="1:8" x14ac:dyDescent="0.2">
      <c r="A15" s="43" t="e">
        <f>A9*40/5</f>
        <v>#DIV/0!</v>
      </c>
      <c r="B15" s="1"/>
      <c r="C15" s="1"/>
      <c r="D15" s="1"/>
      <c r="E15" s="1"/>
      <c r="F15" s="1"/>
      <c r="H15" s="9"/>
    </row>
    <row r="16" spans="1:8" x14ac:dyDescent="0.2">
      <c r="A16" s="15"/>
      <c r="B16" s="1"/>
      <c r="C16" s="1"/>
      <c r="D16" s="1"/>
      <c r="E16" s="1"/>
      <c r="F16" s="1"/>
      <c r="H16"/>
    </row>
    <row r="17" spans="1:8" x14ac:dyDescent="0.2">
      <c r="A17" s="15"/>
      <c r="B17" s="1"/>
      <c r="C17" s="1"/>
      <c r="D17" s="1"/>
      <c r="E17" s="1"/>
      <c r="F17" s="1"/>
    </row>
    <row r="18" spans="1:8" x14ac:dyDescent="0.2">
      <c r="A18" s="14" t="s">
        <v>31</v>
      </c>
      <c r="B18" s="1"/>
      <c r="C18" s="1"/>
      <c r="D18" s="1"/>
      <c r="E18" s="1"/>
      <c r="F18" s="1"/>
    </row>
    <row r="19" spans="1:8" x14ac:dyDescent="0.2">
      <c r="A19" s="43" t="e">
        <f>A15/A12</f>
        <v>#DIV/0!</v>
      </c>
      <c r="B19" s="1"/>
      <c r="C19" s="1"/>
      <c r="D19" s="1"/>
      <c r="E19" s="1"/>
      <c r="F19" s="1"/>
    </row>
    <row r="20" spans="1:8" x14ac:dyDescent="0.2">
      <c r="A20" s="15"/>
      <c r="B20" s="1"/>
      <c r="C20" s="1"/>
      <c r="D20" s="1"/>
      <c r="E20" s="1"/>
      <c r="F20" s="1"/>
    </row>
    <row r="21" spans="1:8" x14ac:dyDescent="0.2">
      <c r="A21" s="14" t="s">
        <v>32</v>
      </c>
      <c r="B21" s="1"/>
      <c r="C21" s="1"/>
      <c r="D21" s="1"/>
      <c r="E21" s="1"/>
      <c r="F21" s="1"/>
    </row>
    <row r="22" spans="1:8" x14ac:dyDescent="0.2">
      <c r="A22" s="43" t="e">
        <f>A19/40*5</f>
        <v>#DIV/0!</v>
      </c>
      <c r="B22" s="1"/>
      <c r="C22" s="1"/>
      <c r="D22" s="1"/>
      <c r="E22" s="1"/>
      <c r="F22" s="1"/>
    </row>
    <row r="23" spans="1:8" x14ac:dyDescent="0.2">
      <c r="A23" s="15"/>
      <c r="B23" s="1"/>
      <c r="C23" s="1"/>
      <c r="D23" s="1"/>
      <c r="E23" s="1"/>
      <c r="F23" s="1"/>
    </row>
    <row r="24" spans="1:8" s="5" customFormat="1" x14ac:dyDescent="0.2">
      <c r="A24" s="16" t="s">
        <v>33</v>
      </c>
      <c r="B24" s="4"/>
      <c r="C24" s="4"/>
      <c r="D24" s="4"/>
      <c r="E24" s="4"/>
      <c r="F24" s="4"/>
      <c r="H24" s="8"/>
    </row>
    <row r="25" spans="1:8" x14ac:dyDescent="0.2">
      <c r="A25" s="43" t="e">
        <f>A6/A12</f>
        <v>#DIV/0!</v>
      </c>
      <c r="B25" s="1"/>
      <c r="C25" s="1"/>
      <c r="D25" s="1"/>
      <c r="E25" s="1"/>
      <c r="F25" s="1"/>
    </row>
    <row r="26" spans="1:8" x14ac:dyDescent="0.2">
      <c r="A26" s="15"/>
      <c r="B26" s="1"/>
      <c r="C26" s="1"/>
      <c r="D26" s="1"/>
      <c r="E26" s="1"/>
      <c r="F26" s="1"/>
    </row>
    <row r="27" spans="1:8" x14ac:dyDescent="0.2">
      <c r="A27" s="14" t="s">
        <v>34</v>
      </c>
      <c r="B27" s="1"/>
      <c r="C27" s="1"/>
      <c r="D27" s="1"/>
      <c r="E27" s="1"/>
      <c r="F27" s="1"/>
    </row>
    <row r="28" spans="1:8" x14ac:dyDescent="0.2">
      <c r="A28" s="44">
        <f>SUM(B3+C3)*A6</f>
        <v>0</v>
      </c>
      <c r="B28" s="1"/>
      <c r="C28" s="1"/>
      <c r="D28" s="1"/>
      <c r="E28" s="1"/>
      <c r="F28" s="1"/>
    </row>
    <row r="29" spans="1:8" x14ac:dyDescent="0.2">
      <c r="A29" s="17"/>
      <c r="B29" s="1"/>
      <c r="C29" s="1"/>
      <c r="D29" s="1"/>
      <c r="E29" s="1"/>
      <c r="F29" s="1"/>
    </row>
    <row r="30" spans="1:8" x14ac:dyDescent="0.2">
      <c r="A30" s="14" t="s">
        <v>35</v>
      </c>
      <c r="B30" s="1"/>
      <c r="C30" s="1"/>
      <c r="D30" s="1"/>
      <c r="E30" s="1"/>
      <c r="F30" s="1"/>
    </row>
    <row r="31" spans="1:8" x14ac:dyDescent="0.2">
      <c r="A31" s="44">
        <f>SUM(D3*A6)</f>
        <v>0</v>
      </c>
      <c r="B31" s="1"/>
      <c r="C31" s="1"/>
      <c r="D31" s="1"/>
      <c r="E31" s="1"/>
      <c r="F31" s="1"/>
    </row>
    <row r="32" spans="1:8" x14ac:dyDescent="0.2">
      <c r="A32" s="15"/>
      <c r="B32" s="1"/>
      <c r="C32" s="1"/>
      <c r="D32" s="1"/>
      <c r="E32" s="1"/>
      <c r="F32" s="1"/>
    </row>
  </sheetData>
  <mergeCells count="7">
    <mergeCell ref="A1:F1"/>
    <mergeCell ref="A2:A4"/>
    <mergeCell ref="B3:B4"/>
    <mergeCell ref="C3:C4"/>
    <mergeCell ref="D3:D4"/>
    <mergeCell ref="E3:E4"/>
    <mergeCell ref="F3:F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1E3AC-D441-41C0-88FE-DB7A25DD69AC}">
  <dimension ref="A1:G17"/>
  <sheetViews>
    <sheetView zoomScale="190" zoomScaleNormal="190" workbookViewId="0">
      <selection activeCell="G1" sqref="G1:G1048576"/>
    </sheetView>
  </sheetViews>
  <sheetFormatPr baseColWidth="10" defaultColWidth="8.83203125" defaultRowHeight="15" x14ac:dyDescent="0.2"/>
  <cols>
    <col min="1" max="1" width="82.83203125" style="11" customWidth="1"/>
    <col min="2" max="2" width="26" style="18" customWidth="1"/>
    <col min="3" max="3" width="27" style="7" customWidth="1"/>
    <col min="4" max="4" width="26.5" style="18" customWidth="1"/>
    <col min="5" max="5" width="26.1640625" style="18" customWidth="1"/>
    <col min="6" max="6" width="18.1640625" customWidth="1"/>
    <col min="7" max="7" width="22.83203125" customWidth="1"/>
    <col min="8" max="8" width="18.5" customWidth="1"/>
    <col min="9" max="9" width="18.1640625" customWidth="1"/>
    <col min="10" max="10" width="18.5" customWidth="1"/>
    <col min="11" max="11" width="18.33203125" customWidth="1"/>
  </cols>
  <sheetData>
    <row r="1" spans="1:7" ht="21" x14ac:dyDescent="0.2">
      <c r="A1" s="49" t="s">
        <v>13</v>
      </c>
    </row>
    <row r="2" spans="1:7" ht="48" x14ac:dyDescent="0.2">
      <c r="A2" s="50" t="s">
        <v>26</v>
      </c>
      <c r="B2" s="19" t="s">
        <v>18</v>
      </c>
      <c r="C2" s="20" t="s">
        <v>14</v>
      </c>
      <c r="D2" s="19" t="s">
        <v>9</v>
      </c>
      <c r="E2" s="19" t="s">
        <v>19</v>
      </c>
    </row>
    <row r="3" spans="1:7" s="6" customFormat="1" x14ac:dyDescent="0.2">
      <c r="A3" s="12"/>
      <c r="B3" s="37"/>
      <c r="C3" s="38"/>
      <c r="D3" s="46">
        <f>SUM(B3*C3)</f>
        <v>0</v>
      </c>
      <c r="E3" s="46">
        <f>SUM(D3/2)</f>
        <v>0</v>
      </c>
    </row>
    <row r="4" spans="1:7" x14ac:dyDescent="0.2">
      <c r="A4" s="12"/>
    </row>
    <row r="5" spans="1:7" ht="16" x14ac:dyDescent="0.2">
      <c r="A5" s="12"/>
      <c r="G5" s="39" t="s">
        <v>23</v>
      </c>
    </row>
    <row r="6" spans="1:7" ht="16" x14ac:dyDescent="0.2">
      <c r="G6" s="45" t="s">
        <v>24</v>
      </c>
    </row>
    <row r="7" spans="1:7" x14ac:dyDescent="0.2">
      <c r="A7" s="12" t="s">
        <v>27</v>
      </c>
    </row>
    <row r="8" spans="1:7" x14ac:dyDescent="0.2">
      <c r="A8" s="35"/>
    </row>
    <row r="10" spans="1:7" x14ac:dyDescent="0.2">
      <c r="A10" s="12" t="s">
        <v>20</v>
      </c>
    </row>
    <row r="11" spans="1:7" x14ac:dyDescent="0.2">
      <c r="A11" s="48" t="e">
        <f>SUM(E3/A8*7)</f>
        <v>#DIV/0!</v>
      </c>
    </row>
    <row r="13" spans="1:7" x14ac:dyDescent="0.2">
      <c r="A13" s="12" t="s">
        <v>11</v>
      </c>
    </row>
    <row r="14" spans="1:7" x14ac:dyDescent="0.2">
      <c r="A14" s="36"/>
    </row>
    <row r="16" spans="1:7" x14ac:dyDescent="0.2">
      <c r="A16" s="12" t="s">
        <v>15</v>
      </c>
    </row>
    <row r="17" spans="1:1" x14ac:dyDescent="0.2">
      <c r="A17" s="47">
        <f>SUM(A14*E3)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1A4D4-1D47-42B0-A738-4FFDF7F7630B}">
  <dimension ref="A1:G17"/>
  <sheetViews>
    <sheetView zoomScale="185" zoomScaleNormal="185" workbookViewId="0">
      <selection activeCell="G1" sqref="G1:G1048576"/>
    </sheetView>
  </sheetViews>
  <sheetFormatPr baseColWidth="10" defaultColWidth="8.83203125" defaultRowHeight="15" x14ac:dyDescent="0.2"/>
  <cols>
    <col min="1" max="1" width="82.83203125" style="11" customWidth="1"/>
    <col min="2" max="2" width="20.6640625" style="21" customWidth="1"/>
    <col min="3" max="3" width="24.5" style="23" customWidth="1"/>
    <col min="4" max="4" width="21" style="10" customWidth="1"/>
    <col min="5" max="5" width="20.6640625" style="10" customWidth="1"/>
    <col min="6" max="6" width="18.1640625" customWidth="1"/>
    <col min="7" max="7" width="24" customWidth="1"/>
    <col min="8" max="8" width="18.5" customWidth="1"/>
    <col min="9" max="9" width="18.1640625" customWidth="1"/>
    <col min="10" max="10" width="18.5" customWidth="1"/>
    <col min="11" max="11" width="18.33203125" customWidth="1"/>
  </cols>
  <sheetData>
    <row r="1" spans="1:7" ht="21" x14ac:dyDescent="0.2">
      <c r="A1" s="49" t="s">
        <v>12</v>
      </c>
    </row>
    <row r="2" spans="1:7" ht="31" x14ac:dyDescent="0.2">
      <c r="A2" s="54" t="s">
        <v>25</v>
      </c>
      <c r="B2" s="22" t="s">
        <v>21</v>
      </c>
      <c r="C2" s="24" t="s">
        <v>22</v>
      </c>
      <c r="D2" s="13" t="s">
        <v>9</v>
      </c>
      <c r="E2" s="13" t="s">
        <v>10</v>
      </c>
    </row>
    <row r="3" spans="1:7" s="6" customFormat="1" x14ac:dyDescent="0.2">
      <c r="A3" s="12"/>
      <c r="B3" s="52">
        <f>SUM(A5/75)</f>
        <v>0</v>
      </c>
      <c r="C3" s="41"/>
      <c r="D3" s="51">
        <f>SUM(B3*C3)</f>
        <v>0</v>
      </c>
      <c r="E3" s="51">
        <f>SUM(D3/2)</f>
        <v>0</v>
      </c>
    </row>
    <row r="4" spans="1:7" x14ac:dyDescent="0.2">
      <c r="A4" s="12" t="s">
        <v>8</v>
      </c>
    </row>
    <row r="5" spans="1:7" ht="16" x14ac:dyDescent="0.2">
      <c r="A5" s="40"/>
      <c r="G5" s="39" t="s">
        <v>23</v>
      </c>
    </row>
    <row r="6" spans="1:7" ht="16" x14ac:dyDescent="0.2">
      <c r="G6" s="45" t="s">
        <v>24</v>
      </c>
    </row>
    <row r="7" spans="1:7" x14ac:dyDescent="0.2">
      <c r="A7" s="12" t="s">
        <v>16</v>
      </c>
    </row>
    <row r="8" spans="1:7" x14ac:dyDescent="0.2">
      <c r="A8" s="40"/>
    </row>
    <row r="10" spans="1:7" x14ac:dyDescent="0.2">
      <c r="A10" s="12" t="s">
        <v>17</v>
      </c>
    </row>
    <row r="11" spans="1:7" x14ac:dyDescent="0.2">
      <c r="A11" s="53" t="e">
        <f>SUM(E3/A8)</f>
        <v>#DIV/0!</v>
      </c>
    </row>
    <row r="13" spans="1:7" x14ac:dyDescent="0.2">
      <c r="A13" s="12" t="s">
        <v>11</v>
      </c>
    </row>
    <row r="14" spans="1:7" x14ac:dyDescent="0.2">
      <c r="A14" s="36"/>
    </row>
    <row r="16" spans="1:7" x14ac:dyDescent="0.2">
      <c r="A16" s="12" t="s">
        <v>15</v>
      </c>
    </row>
    <row r="17" spans="1:1" x14ac:dyDescent="0.2">
      <c r="A17" s="47">
        <f>SUM(A14*E3)</f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321E7D9300C647B2CB9550E639835F" ma:contentTypeVersion="16" ma:contentTypeDescription="Create a new document." ma:contentTypeScope="" ma:versionID="5d65581b7daecf0333421c1e62b36243">
  <xsd:schema xmlns:xsd="http://www.w3.org/2001/XMLSchema" xmlns:xs="http://www.w3.org/2001/XMLSchema" xmlns:p="http://schemas.microsoft.com/office/2006/metadata/properties" xmlns:ns2="c6e53ef5-aa40-4ab3-8b24-2fd4d1062466" xmlns:ns3="bd3e74f9-e755-491e-81ce-75485ea4b35b" targetNamespace="http://schemas.microsoft.com/office/2006/metadata/properties" ma:root="true" ma:fieldsID="ce19219da29738da5ca6195a85ff705d" ns2:_="" ns3:_="">
    <xsd:import namespace="c6e53ef5-aa40-4ab3-8b24-2fd4d1062466"/>
    <xsd:import namespace="bd3e74f9-e755-491e-81ce-75485ea4b3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e53ef5-aa40-4ab3-8b24-2fd4d10624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a19ee54-46e1-4f28-9254-181b3d6e14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3e74f9-e755-491e-81ce-75485ea4b35b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bab50f4-0f11-41c3-83b8-a583064acb53}" ma:internalName="TaxCatchAll" ma:showField="CatchAllData" ma:web="bd3e74f9-e755-491e-81ce-75485ea4b3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d3e74f9-e755-491e-81ce-75485ea4b35b" xsi:nil="true"/>
    <lcf76f155ced4ddcb4097134ff3c332f xmlns="c6e53ef5-aa40-4ab3-8b24-2fd4d106246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DFC11B4-C8A2-4357-85FF-7B766723430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8587898-CC06-47C7-BF50-5D849D1A6F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e53ef5-aa40-4ab3-8b24-2fd4d1062466"/>
    <ds:schemaRef ds:uri="bd3e74f9-e755-491e-81ce-75485ea4b3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EEE7141-6CCA-4D20-BEB4-A90095693073}">
  <ds:schemaRefs>
    <ds:schemaRef ds:uri="http://schemas.microsoft.com/office/2006/metadata/properties"/>
    <ds:schemaRef ds:uri="http://schemas.microsoft.com/office/infopath/2007/PartnerControls"/>
    <ds:schemaRef ds:uri="bd3e74f9-e755-491e-81ce-75485ea4b35b"/>
    <ds:schemaRef ds:uri="c6e53ef5-aa40-4ab3-8b24-2fd4d106246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Presale Membership Calculator</vt:lpstr>
      <vt:lpstr>SGT TE Calculator</vt:lpstr>
      <vt:lpstr>Team TE Calculator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Derrick Martini</dc:creator>
  <cp:lastModifiedBy>Deb Pias</cp:lastModifiedBy>
  <dcterms:created xsi:type="dcterms:W3CDTF">2018-10-12T19:32:20Z</dcterms:created>
  <dcterms:modified xsi:type="dcterms:W3CDTF">2024-03-18T20:03:46Z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0x0101008F321E7D9300C647B2CB9550E639835F</vt:lpwstr>
  </property>
  <property fmtid="{D5CDD505-2E9C-101B-9397-08002B2CF9AE}" pid="3" name="Order">
    <vt:r8>11372800</vt:r8>
  </property>
  <property fmtid="{D5CDD505-2E9C-101B-9397-08002B2CF9AE}" pid="4" name="MediaServiceImageTags">
    <vt:lpwstr/>
  </property>
</Properties>
</file>